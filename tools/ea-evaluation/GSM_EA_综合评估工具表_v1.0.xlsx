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66cd59caf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评估" sheetId="1" r:id="Ra350960396bc473e"/>
    <x:sheet xmlns:r="http://schemas.openxmlformats.org/officeDocument/2006/relationships" name="评分政策" sheetId="2" r:id="Ra6d8e879e2ca4ccc"/>
    <x:sheet xmlns:r="http://schemas.openxmlformats.org/officeDocument/2006/relationships" name="策略与验证" sheetId="3" r:id="R8714f88551d9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yyyy-mm-dd"/>
    <x:numFmt numFmtId="202" formatCode="0%"/>
    <x:numFmt numFmtId="203" formatCode="0.0"/>
    <x:numFmt numFmtId="204" formatCode="#,##0.00;[Red](#,##0.00);0.00"/>
    <x:numFmt numFmtId="205" formatCode="0"/>
    <x:numFmt numFmtId="206" formatCode="0.00&quot;%&quot;"/>
    <x:numFmt numFmtId="207" formatCode="0.0%"/>
    <x:numFmt numFmtId="208" formatCode="0.00%"/>
  </x:numFmts>
  <x:fonts count="7">
    <x:font>
      <x:sz val="11"/>
      <x:name val="Carlito"/>
    </x:font>
    <x:font>
      <x:sz val="10"/>
      <x:color rgb="FF243746"/>
      <x:name val="Arial"/>
    </x:font>
    <x:font>
      <x:b/>
      <x:sz val="16"/>
      <x:color rgb="FF243746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b/>
      <x:sz val="10"/>
      <x:color rgb="FF2437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D58"/>
      </x:patternFill>
    </x:fill>
    <x:fill>
      <x:patternFill patternType="solid">
        <x:fgColor rgb="FFFFF4D6"/>
      </x:patternFill>
    </x:fill>
    <x:fill>
      <x:patternFill patternType="solid">
        <x:fgColor rgb="FFEDF3F8"/>
      </x:patternFill>
    </x:fill>
  </x:fills>
  <x:borders count="2">
    <x:border/>
    <x:border>
      <x:bottom style="thin">
        <x:color rgb="FFAEBECE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right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4" fontId="5" fillId="3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4" fillId="2" borderId="0" xfId="0" applyNumberFormat="1" applyFont="1" applyFill="1" applyBorder="1" applyAlignment="1">
      <x:alignment horizontal="right" vertical="center"/>
    </x:xf>
    <x:xf numFmtId="205" fontId="5" fillId="3" borderId="0" xfId="0" applyNumberFormat="1" applyFont="1" applyFill="1" applyBorder="1" applyAlignment="1">
      <x:alignment horizontal="right" vertical="center"/>
    </x:xf>
    <x:xf numFmtId="206" fontId="5" fillId="3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horizontal="right" vertical="center" wrapText="1"/>
    </x:xf>
    <x:xf numFmtId="208" fontId="1" fillId="0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7" fontId="1" fillId="4" borderId="0" xfId="0" applyNumberFormat="1" applyFont="1" applyFill="1" applyBorder="1" applyAlignment="1">
      <x:alignment horizontal="right" vertical="center"/>
    </x:xf>
    <x:xf numFmtId="207" fontId="2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7">
    <x:dxf>
      <x:font>
        <x:color rgb="FF9B1C1C"/>
      </x:font>
      <x:fill>
        <x:patternFill patternType="solid">
          <x:bgColor rgb="FFFDE8E7"/>
        </x:patternFill>
      </x:fill>
    </x:dxf>
    <x:dxf>
      <x:font>
        <x:color rgb="FF9B1C1C"/>
      </x:font>
      <x:fill>
        <x:patternFill patternType="solid">
          <x:bgColor rgb="FFFDE8E7"/>
        </x:patternFill>
      </x:fill>
    </x:dxf>
    <x:dxf>
      <x:font>
        <x:color rgb="FF9B1C1C"/>
      </x:font>
      <x:fill>
        <x:patternFill patternType="solid">
          <x:bgColor rgb="FFFDE8E7"/>
        </x:patternFill>
      </x:fill>
    </x:dxf>
    <x:dxf>
      <x:font>
        <x:color rgb="FF9B1C1C"/>
      </x:font>
      <x:fill>
        <x:patternFill patternType="solid">
          <x:bgColor rgb="FFFDE8E7"/>
        </x:patternFill>
      </x:fill>
    </x:dxf>
    <x:dxf>
      <x:font>
        <x:b/>
        <x:color rgb="FF9B1C1C"/>
      </x:font>
    </x:dxf>
    <x:dxf>
      <x:fill>
        <x:patternFill patternType="solid">
          <x:bgColor rgb="FFFFF0CF"/>
        </x:patternFill>
      </x:fill>
    </x:dxf>
    <x:dxf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8283a24454bc6" /><Relationship Type="http://schemas.openxmlformats.org/officeDocument/2006/relationships/theme" Target="/xl/theme/theme1.xml" Id="R79fb5c0ebf0e40d9" /><Relationship Type="http://schemas.openxmlformats.org/officeDocument/2006/relationships/sharedStrings" Target="/xl/sharedStrings.xml" Id="R835fe95405824c4f" /><Relationship Type="http://schemas.openxmlformats.org/officeDocument/2006/relationships/worksheet" Target="/xl/worksheets/sheet1.xml" Id="Ra350960396bc473e" /><Relationship Type="http://schemas.openxmlformats.org/officeDocument/2006/relationships/worksheet" Target="/xl/worksheets/sheet2.xml" Id="Ra6d8e879e2ca4ccc" /><Relationship Type="http://schemas.openxmlformats.org/officeDocument/2006/relationships/worksheet" Target="/xl/worksheets/sheet3.xml" Id="R8714f88551d947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2" hidden="0" customWidth="1"/>
    <x:col min="3" max="3" width="14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3" hidden="0" customWidth="1"/>
    <x:col min="9" max="9" width="7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6"/>
    </x:row>
    <x:row r="2" ht="32" customHeight="1">
      <x:c r="A2" s="2"/>
      <x:c r="B2" s="3" t="str">
        <x:v>GSM EA 综合评估工具表</x:v>
      </x:c>
      <x:c r="C2" s="3"/>
      <x:c r="D2" s="3"/>
      <x:c r="E2" s="3"/>
      <x:c r="F2" s="3"/>
      <x:c r="G2" s="3"/>
      <x:c r="H2" s="2"/>
      <x:c r="I2" s="6"/>
    </x:row>
    <x:row r="3" ht="23" customHeight="1">
      <x:c r="A3" s="2"/>
      <x:c r="B3" s="4" t="str">
        <x:v>先填政策，再填黄色格</x:v>
      </x:c>
      <x:c r="C3" s="4"/>
      <x:c r="D3" s="4"/>
      <x:c r="E3" s="4"/>
      <x:c r="F3" s="4"/>
      <x:c r="G3" s="4"/>
      <x:c r="H3" s="2"/>
      <x:c r="I3" s="6" t="str">
        <x:v>日期：2026-10-03。空白模板；没有填入任何 EA 实际成绩。</x:v>
      </x:c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6"/>
    </x:row>
    <x:row r="5" ht="32" customHeight="1">
      <x:c r="A5" s="2"/>
      <x:c r="B5" s="11" t="str">
        <x:v>指标 / 状态</x:v>
      </x:c>
      <x:c r="C5" s="11" t="str">
        <x:v>单位</x:v>
      </x:c>
      <x:c r="D5" s="11" t="str">
        <x:v>当前最佳（手动指定）</x:v>
      </x:c>
      <x:c r="E5" s="11" t="str">
        <x:v>候选 A</x:v>
      </x:c>
      <x:c r="F5" s="11" t="str">
        <x:v>候选 B</x:v>
      </x:c>
      <x:c r="G5" s="11" t="str">
        <x:v>候选 C</x:v>
      </x:c>
      <x:c r="H5" s="2"/>
      <x:c r="I5" s="6"/>
    </x:row>
    <x:row r="6" ht="23" customHeight="1">
      <x:c r="A6" s="2"/>
      <x:c r="B6" s="2" t="str">
        <x:v>candidate_id</x:v>
      </x:c>
      <x:c r="C6" s="2" t="str">
        <x:v>ID</x:v>
      </x:c>
      <x:c r="D6" s="14"/>
      <x:c r="E6" s="14"/>
      <x:c r="F6" s="14"/>
      <x:c r="G6" s="14"/>
      <x:c r="H6" s="2"/>
      <x:c r="I6" s="6"/>
    </x:row>
    <x:row r="7" ht="23" customHeight="1">
      <x:c r="A7" s="2"/>
      <x:c r="B7" s="2" t="str">
        <x:v>run_id</x:v>
      </x:c>
      <x:c r="C7" s="2" t="str">
        <x:v>ID</x:v>
      </x:c>
      <x:c r="D7" s="14"/>
      <x:c r="E7" s="14"/>
      <x:c r="F7" s="14"/>
      <x:c r="G7" s="14"/>
      <x:c r="H7" s="2"/>
      <x:c r="I7" s="6"/>
    </x:row>
    <x:row r="8" ht="23" customHeight="1">
      <x:c r="A8" s="2"/>
      <x:c r="B8" s="2" t="str">
        <x:v>comparison_group_id</x:v>
      </x:c>
      <x:c r="C8" s="2" t="str">
        <x:v>ID</x:v>
      </x:c>
      <x:c r="D8" s="14"/>
      <x:c r="E8" s="14"/>
      <x:c r="F8" s="14"/>
      <x:c r="G8" s="14"/>
      <x:c r="H8" s="2"/>
      <x:c r="I8" s="6"/>
    </x:row>
    <x:row r="9" ht="23" customHeight="1">
      <x:c r="A9" s="2"/>
      <x:c r="B9" s="2" t="str">
        <x:v>同条件与身份已核对</x:v>
      </x:c>
      <x:c r="C9" s="2" t="str">
        <x:v>确认</x:v>
      </x:c>
      <x:c r="D9" s="14"/>
      <x:c r="E9" s="14"/>
      <x:c r="F9" s="14"/>
      <x:c r="G9" s="14"/>
      <x:c r="H9" s="2"/>
      <x:c r="I9" s="6" t="str">
        <x:v>逐列核对资金、币种、日期、品种、合约、基础风险、手数、成本和执行场景。</x:v>
      </x:c>
    </x:row>
    <x:row r="10" ht="32" customHeight="1">
      <x:c r="A10" s="2"/>
      <x:c r="B10" s="2" t="str">
        <x:v>综合评分</x:v>
      </x:c>
      <x:c r="C10" s="2" t="str">
        <x:v>分 / 100</x:v>
      </x:c>
      <x:c r="D10" s="31" t="str">
        <x:f>IF(D11="可计算诊断分",SUM(D56:D60)/100,"N/A")</x:f>
        <x:v>N/A</x:v>
      </x:c>
      <x:c r="E10" s="31" t="str">
        <x:f>IF(E11="可计算诊断分",SUM(E56:E60)/100,"N/A")</x:f>
        <x:v>N/A</x:v>
      </x:c>
      <x:c r="F10" s="31" t="str">
        <x:f>IF(F11="可计算诊断分",SUM(F56:F60)/100,"N/A")</x:f>
        <x:v>N/A</x:v>
      </x:c>
      <x:c r="G10" s="31" t="str">
        <x:f>IF(G11="可计算诊断分",SUM(G56:G60)/100,"N/A")</x:f>
        <x:v>N/A</x:v>
      </x:c>
      <x:c r="H10" s="2"/>
      <x:c r="I10" s="6" t="str">
        <x:v>五项固定权重。分数不等于验收通过、盈利概率、Champion 或实盘许可。</x:v>
      </x:c>
    </x:row>
    <x:row r="11" ht="38" customHeight="1">
      <x:c r="A11" s="2"/>
      <x:c r="B11" s="2" t="str">
        <x:v>评分状态</x:v>
      </x:c>
      <x:c r="C11" s="2" t="str">
        <x:v>状态</x:v>
      </x:c>
      <x:c r="D11" s="32" t="str">
        <x:f>IF('评分政策'!$C$52&lt;&gt;"READY",'评分政策'!$C$52,IF(OR(D6="",D7="",D8&lt;&gt;'评分政策'!$C$7,D9&lt;&gt;"已核对"),"CONTEXT_UNVERIFIED",IF(OR(COUNTIFS($D$6:$G$6,D6)&gt;1,COUNTIFS($D$7:$G$7,D7)&gt;1),"DUPLICATE_ID",IF(COUNT(D51:D55)&lt;&gt;5,"INCOMPLETE","可计算诊断分"))))</x:f>
        <x:v>SCORE_TARGETS_UNSET</x:v>
      </x:c>
      <x:c r="E11" s="32" t="str">
        <x:f>IF('评分政策'!$C$52&lt;&gt;"READY",'评分政策'!$C$52,IF(OR(E6="",E7="",E8&lt;&gt;'评分政策'!$C$7,E9&lt;&gt;"已核对"),"CONTEXT_UNVERIFIED",IF(OR(COUNTIFS($D$6:$G$6,E6)&gt;1,COUNTIFS($D$7:$G$7,E7)&gt;1),"DUPLICATE_ID",IF(COUNT(E51:E55)&lt;&gt;5,"INCOMPLETE","可计算诊断分"))))</x:f>
        <x:v>SCORE_TARGETS_UNSET</x:v>
      </x:c>
      <x:c r="F11" s="32" t="str">
        <x:f>IF('评分政策'!$C$52&lt;&gt;"READY",'评分政策'!$C$52,IF(OR(F6="",F7="",F8&lt;&gt;'评分政策'!$C$7,F9&lt;&gt;"已核对"),"CONTEXT_UNVERIFIED",IF(OR(COUNTIFS($D$6:$G$6,F6)&gt;1,COUNTIFS($D$7:$G$7,F7)&gt;1),"DUPLICATE_ID",IF(COUNT(F51:F55)&lt;&gt;5,"INCOMPLETE","可计算诊断分"))))</x:f>
        <x:v>SCORE_TARGETS_UNSET</x:v>
      </x:c>
      <x:c r="G11" s="32" t="str">
        <x:f>IF('评分政策'!$C$52&lt;&gt;"READY",'评分政策'!$C$52,IF(OR(G6="",G7="",G8&lt;&gt;'评分政策'!$C$7,G9&lt;&gt;"已核对"),"CONTEXT_UNVERIFIED",IF(OR(COUNTIFS($D$6:$G$6,G6)&gt;1,COUNTIFS($D$7:$G$7,G7)&gt;1),"DUPLICATE_ID",IF(COUNT(G51:G55)&lt;&gt;5,"INCOMPLETE","可计算诊断分"))))</x:f>
        <x:v>SCORE_TARGETS_UNSET</x:v>
      </x:c>
      <x:c r="H11" s="2"/>
      <x:c r="I11" s="6"/>
    </x:row>
    <x:row r="12" ht="38" customHeight="1">
      <x:c r="A12" s="2"/>
      <x:c r="B12" s="2" t="str">
        <x:v>旧版主区间数值筛查</x:v>
      </x:c>
      <x:c r="C12" s="2" t="str">
        <x:v>状态</x:v>
      </x:c>
      <x:c r="D12" s="32" t="str">
        <x:f>IF('评分政策'!$C$8&lt;&gt;"GSM旧版升级","核对所选项目标准",IF(OR(AND(ISNUMBER(D17),D17&lt;=0),AND(ISNUMBER(D20),D20&gt;'评分政策'!$C$45),AND(ISNUMBER(D24),D24&lt;'评分政策'!$C$46),AND(ISNUMBER(D30),D30&lt;='评分政策'!$C$47),'策略与验证'!D30="是",'策略与验证'!D31="异常停机",'策略与验证'!D32="未通过",'策略与验证'!D33="未通过"),"未达标，继续研究",IF(OR(NOT(ISNUMBER(D17)),NOT(ISNUMBER(D20)),NOT(ISNUMBER(D24)),NOT(ISNUMBER(D30)),NOT(ISNUMBER(D34)),D34&lt;=0,D28&lt;&gt;"已核对",D29&lt;&gt;"已核对",NOT(ISNUMBER(D31)),D31&lt;=0,'策略与验证'!D30&lt;&gt;"否",AND('策略与验证'!D31&lt;&gt;"稳定运行",'策略与验证'!D31&lt;&gt;"正常暂停且恢复已核对")),"资料待核对",IF(D20&gt;'评分政策'!$C$44,"回撤需严格复核","数值达标，待完整复核"))))</x:f>
        <x:v>核对所选项目标准</x:v>
      </x:c>
      <x:c r="E12" s="32" t="str">
        <x:f>IF('评分政策'!$C$8&lt;&gt;"GSM旧版升级","核对所选项目标准",IF(OR(AND(ISNUMBER(E17),E17&lt;=0),AND(ISNUMBER(E20),E20&gt;'评分政策'!$C$45),AND(ISNUMBER(E24),E24&lt;'评分政策'!$C$46),AND(ISNUMBER(E30),E30&lt;='评分政策'!$C$47),'策略与验证'!E30="是",'策略与验证'!E31="异常停机",'策略与验证'!E32="未通过",'策略与验证'!E33="未通过"),"未达标，继续研究",IF(OR(NOT(ISNUMBER(E17)),NOT(ISNUMBER(E20)),NOT(ISNUMBER(E24)),NOT(ISNUMBER(E30)),NOT(ISNUMBER(E34)),E34&lt;=0,E28&lt;&gt;"已核对",E29&lt;&gt;"已核对",NOT(ISNUMBER(E31)),E31&lt;=0,'策略与验证'!E30&lt;&gt;"否",AND('策略与验证'!E31&lt;&gt;"稳定运行",'策略与验证'!E31&lt;&gt;"正常暂停且恢复已核对")),"资料待核对",IF(E20&gt;'评分政策'!$C$44,"回撤需严格复核","数值达标，待完整复核"))))</x:f>
        <x:v>核对所选项目标准</x:v>
      </x:c>
      <x:c r="F12" s="32" t="str">
        <x:f>IF('评分政策'!$C$8&lt;&gt;"GSM旧版升级","核对所选项目标准",IF(OR(AND(ISNUMBER(F17),F17&lt;=0),AND(ISNUMBER(F20),F20&gt;'评分政策'!$C$45),AND(ISNUMBER(F24),F24&lt;'评分政策'!$C$46),AND(ISNUMBER(F30),F30&lt;='评分政策'!$C$47),'策略与验证'!F30="是",'策略与验证'!F31="异常停机",'策略与验证'!F32="未通过",'策略与验证'!F33="未通过"),"未达标，继续研究",IF(OR(NOT(ISNUMBER(F17)),NOT(ISNUMBER(F20)),NOT(ISNUMBER(F24)),NOT(ISNUMBER(F30)),NOT(ISNUMBER(F34)),F34&lt;=0,F28&lt;&gt;"已核对",F29&lt;&gt;"已核对",NOT(ISNUMBER(F31)),F31&lt;=0,'策略与验证'!F30&lt;&gt;"否",AND('策略与验证'!F31&lt;&gt;"稳定运行",'策略与验证'!F31&lt;&gt;"正常暂停且恢复已核对")),"资料待核对",IF(F20&gt;'评分政策'!$C$44,"回撤需严格复核","数值达标，待完整复核"))))</x:f>
        <x:v>核对所选项目标准</x:v>
      </x:c>
      <x:c r="G12" s="32" t="str">
        <x:f>IF('评分政策'!$C$8&lt;&gt;"GSM旧版升级","核对所选项目标准",IF(OR(AND(ISNUMBER(G17),G17&lt;=0),AND(ISNUMBER(G20),G20&gt;'评分政策'!$C$45),AND(ISNUMBER(G24),G24&lt;'评分政策'!$C$46),AND(ISNUMBER(G30),G30&lt;='评分政策'!$C$47),'策略与验证'!G30="是",'策略与验证'!G31="异常停机",'策略与验证'!G32="未通过",'策略与验证'!G33="未通过"),"未达标，继续研究",IF(OR(NOT(ISNUMBER(G17)),NOT(ISNUMBER(G20)),NOT(ISNUMBER(G24)),NOT(ISNUMBER(G30)),NOT(ISNUMBER(G34)),G34&lt;=0,G28&lt;&gt;"已核对",G29&lt;&gt;"已核对",NOT(ISNUMBER(G31)),G31&lt;=0,'策略与验证'!G30&lt;&gt;"否",AND('策略与验证'!G31&lt;&gt;"稳定运行",'策略与验证'!G31&lt;&gt;"正常暂停且恢复已核对")),"资料待核对",IF(G20&gt;'评分政策'!$C$44,"回撤需严格复核","数值达标，待完整复核"))))</x:f>
        <x:v>核对所选项目标准</x:v>
      </x:c>
      <x:c r="H12" s="2"/>
      <x:c r="I12" s="6" t="str">
        <x:v>仅旧版主区间初筛；其余项目 / OOS 不套用该数量门槛，人工按适用计划复核。</x:v>
      </x:c>
    </x:row>
    <x:row r="13" ht="38" customHeight="1">
      <x:c r="A13" s="2"/>
      <x:c r="B13" s="2" t="str">
        <x:v>独立验证记录</x:v>
      </x:c>
      <x:c r="C13" s="2" t="str">
        <x:v>状态</x:v>
      </x:c>
      <x:c r="D13" s="32" t="str">
        <x:f>'策略与验证'!D36</x:f>
        <x:v>验证资料待完善</x:v>
      </x:c>
      <x:c r="E13" s="32" t="str">
        <x:f>'策略与验证'!E36</x:f>
        <x:v>验证资料待完善</x:v>
      </x:c>
      <x:c r="F13" s="32" t="str">
        <x:f>'策略与验证'!F36</x:f>
        <x:v>验证资料待完善</x:v>
      </x:c>
      <x:c r="G13" s="32" t="str">
        <x:f>'策略与验证'!G36</x:f>
        <x:v>验证资料待完善</x:v>
      </x:c>
      <x:c r="H13" s="2"/>
      <x:c r="I13" s="6"/>
    </x:row>
    <x:row r="14" ht="23" customHeight="1">
      <x:c r="A14" s="2"/>
      <x:c r="B14" s="2"/>
      <x:c r="C14" s="2"/>
      <x:c r="D14" s="5"/>
      <x:c r="E14" s="5"/>
      <x:c r="F14" s="5"/>
      <x:c r="G14" s="5"/>
      <x:c r="H14" s="2"/>
      <x:c r="I14" s="6"/>
    </x:row>
    <x:row r="15" ht="23" customHeight="1">
      <x:c r="A15" s="2"/>
      <x:c r="B15" s="2"/>
      <x:c r="C15" s="2"/>
      <x:c r="D15" s="5"/>
      <x:c r="E15" s="5"/>
      <x:c r="F15" s="5"/>
      <x:c r="G15" s="5"/>
      <x:c r="H15" s="2"/>
      <x:c r="I15" s="6"/>
    </x:row>
    <x:row r="16" ht="27" customHeight="1">
      <x:c r="A16" s="2"/>
      <x:c r="B16" s="9" t="str">
        <x:v>报告原值与辅助诊断</x:v>
      </x:c>
      <x:c r="C16" s="9"/>
      <x:c r="D16" s="10"/>
      <x:c r="E16" s="10"/>
      <x:c r="F16" s="10"/>
      <x:c r="G16" s="10"/>
      <x:c r="H16" s="2"/>
      <x:c r="I16" s="6"/>
    </x:row>
    <x:row r="17" ht="23" customHeight="1">
      <x:c r="A17" s="2"/>
      <x:c r="B17" s="2" t="str">
        <x:v>净利润（成本后）</x:v>
      </x:c>
      <x:c r="C17" s="2" t="str">
        <x:v>USD</x:v>
      </x:c>
      <x:c r="D17" s="20"/>
      <x:c r="E17" s="20"/>
      <x:c r="F17" s="20"/>
      <x:c r="G17" s="20"/>
      <x:c r="H17" s="2"/>
      <x:c r="I17" s="6"/>
    </x:row>
    <x:row r="18" ht="23" customHeight="1">
      <x:c r="A18" s="2"/>
      <x:c r="B18" s="2" t="str">
        <x:v>最大净值回撤金额</x:v>
      </x:c>
      <x:c r="C18" s="2" t="str">
        <x:v>USD</x:v>
      </x:c>
      <x:c r="D18" s="20"/>
      <x:c r="E18" s="20"/>
      <x:c r="F18" s="20"/>
      <x:c r="G18" s="20"/>
      <x:c r="H18" s="2"/>
      <x:c r="I18" s="6" t="str">
        <x:v>STAT_EQUITY_DD。历史观察值，不是未来亏损上限。</x:v>
      </x:c>
    </x:row>
    <x:row r="19" ht="23" customHeight="1">
      <x:c r="A19" s="2"/>
      <x:c r="B19" s="2" t="str">
        <x:v>金额回撤对应百分比</x:v>
      </x:c>
      <x:c r="C19" s="2" t="str">
        <x:v>% 数值</x:v>
      </x:c>
      <x:c r="D19" s="24"/>
      <x:c r="E19" s="24"/>
      <x:c r="F19" s="24"/>
      <x:c r="G19" s="24"/>
      <x:c r="H19" s="2"/>
      <x:c r="I19" s="6" t="str">
        <x:v>STAT_EQUITYDD_PERCENT；不要用它替换全程最大相对净值回撤。</x:v>
      </x:c>
    </x:row>
    <x:row r="20" ht="23" customHeight="1">
      <x:c r="A20" s="2"/>
      <x:c r="B20" s="2" t="str">
        <x:v>全程最大相对净值回撤</x:v>
      </x:c>
      <x:c r="C20" s="2" t="str">
        <x:v>% 数值</x:v>
      </x:c>
      <x:c r="D20" s="24"/>
      <x:c r="E20" s="24"/>
      <x:c r="F20" s="24"/>
      <x:c r="G20" s="24"/>
      <x:c r="H20" s="2"/>
      <x:c r="I20" s="6" t="str">
        <x:v>STAT_EQUITY_DDREL_PERCENT；输入 10 表示 10%，不要输入 0.10。</x:v>
      </x:c>
    </x:row>
    <x:row r="21" ht="23" customHeight="1">
      <x:c r="A21" s="2"/>
      <x:c r="B21" s="2" t="str">
        <x:v>原生 Profit Factor</x:v>
      </x:c>
      <x:c r="C21" s="2" t="str">
        <x:v>倍</x:v>
      </x:c>
      <x:c r="D21" s="20"/>
      <x:c r="E21" s="20"/>
      <x:c r="F21" s="20"/>
      <x:c r="G21" s="20"/>
      <x:c r="H21" s="2"/>
      <x:c r="I21" s="6" t="str">
        <x:v>原生 PF 与 GP / |GL| 核对，容差 max(0.005, 比率×10⁻⁶)；超差为 N/A。</x:v>
      </x:c>
    </x:row>
    <x:row r="22" ht="23" customHeight="1">
      <x:c r="A22" s="2"/>
      <x:c r="B22" s="2" t="str">
        <x:v>原生 Gross Profit</x:v>
      </x:c>
      <x:c r="C22" s="2" t="str">
        <x:v>USD</x:v>
      </x:c>
      <x:c r="D22" s="20"/>
      <x:c r="E22" s="20"/>
      <x:c r="F22" s="20"/>
      <x:c r="G22" s="20"/>
      <x:c r="H22" s="2"/>
      <x:c r="I22" s="6"/>
    </x:row>
    <x:row r="23" ht="23" customHeight="1">
      <x:c r="A23" s="2"/>
      <x:c r="B23" s="2" t="str">
        <x:v>原生 Gross Loss 绝对值</x:v>
      </x:c>
      <x:c r="C23" s="2" t="str">
        <x:v>USD</x:v>
      </x:c>
      <x:c r="D23" s="20"/>
      <x:c r="E23" s="20"/>
      <x:c r="F23" s="20"/>
      <x:c r="G23" s="20"/>
      <x:c r="H23" s="2"/>
      <x:c r="I23" s="6" t="str">
        <x:v>填原生 Gross Loss 的绝对值；零表示分母未定义，不自动满分。</x:v>
      </x:c>
    </x:row>
    <x:row r="24" ht="23" customHeight="1">
      <x:c r="A24" s="2"/>
      <x:c r="B24" s="2" t="str">
        <x:v>完整开平仓交易数</x:v>
      </x:c>
      <x:c r="C24" s="2" t="str">
        <x:v>笔</x:v>
      </x:c>
      <x:c r="D24" s="23"/>
      <x:c r="E24" s="23"/>
      <x:c r="F24" s="23"/>
      <x:c r="G24" s="23"/>
      <x:c r="H24" s="2"/>
      <x:c r="I24" s="6" t="str">
        <x:v>分批平仓不增加完整交易数；Setup 与 Deals 另列。</x:v>
      </x:c>
    </x:row>
    <x:row r="25" ht="23" customHeight="1">
      <x:c r="A25" s="2"/>
      <x:c r="B25" s="2" t="str">
        <x:v>已配对往返标准手 RT_lots</x:v>
      </x:c>
      <x:c r="C25" s="2" t="str">
        <x:v>手</x:v>
      </x:c>
      <x:c r="D25" s="20"/>
      <x:c r="E25" s="20"/>
      <x:c r="F25" s="20"/>
      <x:c r="G25" s="20"/>
      <x:c r="H25" s="2"/>
      <x:c r="I25" s="6" t="str">
        <x:v>开 1 手再平 1 手 = 1 往返手；只计本区间配对完成量。</x:v>
      </x:c>
    </x:row>
    <x:row r="26" ht="23" customHeight="1">
      <x:c r="A26" s="2"/>
      <x:c r="B26" s="2" t="str">
        <x:v>同范围摩擦成本总额</x:v>
      </x:c>
      <x:c r="C26" s="2" t="str">
        <x:v>USD</x:v>
      </x:c>
      <x:c r="D26" s="21" t="str">
        <x:f>IF(AND(COUNT(D86:D89)=4,MIN(D86:D89)&gt;=0),SUM(D86:D89),"N/A")</x:f>
        <x:v>N/A</x:v>
      </x:c>
      <x:c r="E26" s="21" t="str">
        <x:f>IF(AND(COUNT(E86:E89)=4,MIN(E86:E89)&gt;=0),SUM(E86:E89),"N/A")</x:f>
        <x:v>N/A</x:v>
      </x:c>
      <x:c r="F26" s="21" t="str">
        <x:f>IF(AND(COUNT(F86:F89)=4,MIN(F86:F89)&gt;=0),SUM(F86:F89),"N/A")</x:f>
        <x:v>N/A</x:v>
      </x:c>
      <x:c r="G26" s="21" t="str">
        <x:f>IF(AND(COUNT(G86:G89)=4,MIN(G86:G89)&gt;=0),SUM(G86:G89),"N/A")</x:f>
        <x:v>N/A</x:v>
      </x:c>
      <x:c r="H26" s="2"/>
      <x:c r="I26" s="6" t="str">
        <x:v>由下方四项非负成本合计；不再从已经扣成本的净利润中扣一次。</x:v>
      </x:c>
    </x:row>
    <x:row r="27" ht="23" customHeight="1">
      <x:c r="A27" s="2"/>
      <x:c r="B27" s="2" t="str">
        <x:v>每往返标准手成本</x:v>
      </x:c>
      <x:c r="C27" s="2" t="str">
        <x:v>USD / RT</x:v>
      </x:c>
      <x:c r="D27" s="21" t="str">
        <x:f>IF(AND(ISNUMBER(D25),D25&gt;0,ISNUMBER(D26),D29="已核对"),D26/D25,"N/A")</x:f>
        <x:v>N/A</x:v>
      </x:c>
      <x:c r="E27" s="21" t="str">
        <x:f>IF(AND(ISNUMBER(E25),E25&gt;0,ISNUMBER(E26),E29="已核对"),E26/E25,"N/A")</x:f>
        <x:v>N/A</x:v>
      </x:c>
      <x:c r="F27" s="21" t="str">
        <x:f>IF(AND(ISNUMBER(F25),F25&gt;0,ISNUMBER(F26),F29="已核对"),F26/F25,"N/A")</x:f>
        <x:v>N/A</x:v>
      </x:c>
      <x:c r="G27" s="21" t="str">
        <x:f>IF(AND(ISNUMBER(G25),G25&gt;0,ISNUMBER(G26),G29="已核对"),G26/G25,"N/A")</x:f>
        <x:v>N/A</x:v>
      </x:c>
      <x:c r="H27" s="2"/>
      <x:c r="I27" s="6"/>
    </x:row>
    <x:row r="28" ht="23" customHeight="1">
      <x:c r="A28" s="2"/>
      <x:c r="B28" s="2" t="str">
        <x:v>净利、现金流与完整交易口径</x:v>
      </x:c>
      <x:c r="C28" s="2" t="str">
        <x:v>确认</x:v>
      </x:c>
      <x:c r="D28" s="20"/>
      <x:c r="E28" s="20"/>
      <x:c r="F28" s="20"/>
      <x:c r="G28" s="20"/>
      <x:c r="H28" s="2"/>
      <x:c r="I28" s="6" t="str">
        <x:v>确认净利已排除入金 / 提款、费用没有漏计或重复扣；完整交易已正确聚合。</x:v>
      </x:c>
    </x:row>
    <x:row r="29" ht="23" customHeight="1">
      <x:c r="A29" s="2"/>
      <x:c r="B29" s="2" t="str">
        <x:v>成本与原生 PF 口径</x:v>
      </x:c>
      <x:c r="C29" s="2" t="str">
        <x:v>确认</x:v>
      </x:c>
      <x:c r="D29" s="20"/>
      <x:c r="E29" s="20"/>
      <x:c r="F29" s="20"/>
      <x:c r="G29" s="20"/>
      <x:c r="H29" s="2"/>
      <x:c r="I29" s="6" t="str">
        <x:v>确认成本拆分可审计、没有重叠；PF 与 Gross Profit / Loss 一致且非哨兵值。</x:v>
      </x:c>
    </x:row>
    <x:row r="30" ht="23" customHeight="1">
      <x:c r="A30" s="2"/>
      <x:c r="B30" s="2" t="str">
        <x:v>原生 Recovery</x:v>
      </x:c>
      <x:c r="C30" s="2" t="str">
        <x:v>倍</x:v>
      </x:c>
      <x:c r="D30" s="20"/>
      <x:c r="E30" s="20"/>
      <x:c r="F30" s="20"/>
      <x:c r="G30" s="20"/>
      <x:c r="H30" s="2"/>
      <x:c r="I30" s="6" t="str">
        <x:v>原生 MT5 Recovery 使用最大余额 DD；核对原值与净利 / 余额 DD。</x:v>
      </x:c>
    </x:row>
    <x:row r="31" ht="23" customHeight="1">
      <x:c r="A31" s="2"/>
      <x:c r="B31" s="2" t="str">
        <x:v>最大余额回撤金额</x:v>
      </x:c>
      <x:c r="C31" s="2" t="str">
        <x:v>USD</x:v>
      </x:c>
      <x:c r="D31" s="20"/>
      <x:c r="E31" s="20"/>
      <x:c r="F31" s="20"/>
      <x:c r="G31" s="20"/>
      <x:c r="H31" s="2"/>
      <x:c r="I31" s="6"/>
    </x:row>
    <x:row r="32" ht="23" customHeight="1">
      <x:c r="A32" s="2"/>
      <x:c r="B32" s="2" t="str">
        <x:v>Equity Recovery</x:v>
      </x:c>
      <x:c r="C32" s="2" t="str">
        <x:v>倍</x:v>
      </x:c>
      <x:c r="D32" s="21" t="str">
        <x:f>IF(AND(ISNUMBER(D17),ISNUMBER(D18),D18&gt;0),D17/D18,"N/A")</x:f>
        <x:v>N/A</x:v>
      </x:c>
      <x:c r="E32" s="21" t="str">
        <x:f>IF(AND(ISNUMBER(E17),ISNUMBER(E18),E18&gt;0),E17/E18,"N/A")</x:f>
        <x:v>N/A</x:v>
      </x:c>
      <x:c r="F32" s="21" t="str">
        <x:f>IF(AND(ISNUMBER(F17),ISNUMBER(F18),F18&gt;0),F17/F18,"N/A")</x:f>
        <x:v>N/A</x:v>
      </x:c>
      <x:c r="G32" s="21" t="str">
        <x:f>IF(AND(ISNUMBER(G17),ISNUMBER(G18),G18&gt;0),G17/G18,"N/A")</x:f>
        <x:v>N/A</x:v>
      </x:c>
      <x:c r="H32" s="2"/>
      <x:c r="I32" s="6" t="str">
        <x:v>额外指标：净利润 / 最大净值 DD，不替换原生 Recovery。</x:v>
      </x:c>
    </x:row>
    <x:row r="33" ht="23" customHeight="1">
      <x:c r="A33" s="2"/>
      <x:c r="B33" s="2" t="str">
        <x:v>原生 Expected Payoff</x:v>
      </x:c>
      <x:c r="C33" s="2" t="str">
        <x:v>USD</x:v>
      </x:c>
      <x:c r="D33" s="20"/>
      <x:c r="E33" s="20"/>
      <x:c r="F33" s="20"/>
      <x:c r="G33" s="20"/>
      <x:c r="H33" s="2"/>
      <x:c r="I33" s="6"/>
    </x:row>
    <x:row r="34" ht="23" customHeight="1">
      <x:c r="A34" s="2"/>
      <x:c r="B34" s="2" t="str">
        <x:v>完整交易成本后净期望</x:v>
      </x:c>
      <x:c r="C34" s="2" t="str">
        <x:v>USD / 笔</x:v>
      </x:c>
      <x:c r="D34" s="21" t="str">
        <x:f>IF(AND(ISNUMBER(D17),ISNUMBER(D24),D24&gt;0,D24=INT(D24),D28="已核对"),D17/D24,"N/A")</x:f>
        <x:v>N/A</x:v>
      </x:c>
      <x:c r="E34" s="21" t="str">
        <x:f>IF(AND(ISNUMBER(E17),ISNUMBER(E24),E24&gt;0,E24=INT(E24),E28="已核对"),E17/E24,"N/A")</x:f>
        <x:v>N/A</x:v>
      </x:c>
      <x:c r="F34" s="21" t="str">
        <x:f>IF(AND(ISNUMBER(F17),ISNUMBER(F24),F24&gt;0,F24=INT(F24),F28="已核对"),F17/F24,"N/A")</x:f>
        <x:v>N/A</x:v>
      </x:c>
      <x:c r="G34" s="21" t="str">
        <x:f>IF(AND(ISNUMBER(G17),ISNUMBER(G24),G24&gt;0,G24=INT(G24),G28="已核对"),G17/G24,"N/A")</x:f>
        <x:v>N/A</x:v>
      </x:c>
      <x:c r="H34" s="2"/>
      <x:c r="I34" s="6" t="str">
        <x:v>仅在同区间、同一批完整交易净利与费用已核对后，使用净利 / 完整交易数。</x:v>
      </x:c>
    </x:row>
    <x:row r="35" ht="23" customHeight="1">
      <x:c r="A35" s="2"/>
      <x:c r="B35" s="2" t="str">
        <x:v>原生 Sharpe</x:v>
      </x:c>
      <x:c r="C35" s="2" t="str">
        <x:v>倍</x:v>
      </x:c>
      <x:c r="D35" s="20"/>
      <x:c r="E35" s="20"/>
      <x:c r="F35" s="20"/>
      <x:c r="G35" s="20"/>
      <x:c r="H35" s="2"/>
      <x:c r="I35" s="6" t="str">
        <x:v>夏普仅辅助诊断；核对收益序列、频率、现金流、无风险利率与年化方法。</x:v>
      </x:c>
    </x:row>
    <x:row r="36" ht="23" customHeight="1">
      <x:c r="A36" s="2"/>
      <x:c r="B36" s="2" t="str">
        <x:v>最低保证金水平</x:v>
      </x:c>
      <x:c r="C36" s="2" t="str">
        <x:v>% 数值</x:v>
      </x:c>
      <x:c r="D36" s="24"/>
      <x:c r="E36" s="24"/>
      <x:c r="F36" s="24"/>
      <x:c r="G36" s="24"/>
      <x:c r="H36" s="2"/>
      <x:c r="I36" s="6" t="str">
        <x:v>保证金水平与净值回撤不是同一概念；另核对券商 Stop Out 模式和阈值。</x:v>
      </x:c>
    </x:row>
    <x:row r="37" ht="23" customHeight="1">
      <x:c r="A37" s="2"/>
      <x:c r="B37" s="2" t="str">
        <x:v>原生 MT5 Trades</x:v>
      </x:c>
      <x:c r="C37" s="2" t="str">
        <x:v>笔</x:v>
      </x:c>
      <x:c r="D37" s="23"/>
      <x:c r="E37" s="23"/>
      <x:c r="F37" s="23"/>
      <x:c r="G37" s="23"/>
      <x:c r="H37" s="2"/>
      <x:c r="I37" s="6"/>
    </x:row>
    <x:row r="38" ht="23" customHeight="1">
      <x:c r="A38" s="2"/>
      <x:c r="B38" s="2" t="str">
        <x:v>Setup 数</x:v>
      </x:c>
      <x:c r="C38" s="2" t="str">
        <x:v>组</x:v>
      </x:c>
      <x:c r="D38" s="23"/>
      <x:c r="E38" s="23"/>
      <x:c r="F38" s="23"/>
      <x:c r="G38" s="23"/>
      <x:c r="H38" s="2"/>
      <x:c r="I38" s="6"/>
    </x:row>
    <x:row r="39" ht="23" customHeight="1">
      <x:c r="A39" s="2"/>
      <x:c r="B39" s="2" t="str">
        <x:v>Deals 数</x:v>
      </x:c>
      <x:c r="C39" s="2" t="str">
        <x:v>笔</x:v>
      </x:c>
      <x:c r="D39" s="23"/>
      <x:c r="E39" s="23"/>
      <x:c r="F39" s="23"/>
      <x:c r="G39" s="23"/>
      <x:c r="H39" s="2"/>
      <x:c r="I39" s="6"/>
    </x:row>
    <x:row r="40" ht="23" customHeight="1">
      <x:c r="A40" s="2"/>
      <x:c r="B40" s="2" t="str">
        <x:v>盈利完整交易数</x:v>
      </x:c>
      <x:c r="C40" s="2" t="str">
        <x:v>笔</x:v>
      </x:c>
      <x:c r="D40" s="23"/>
      <x:c r="E40" s="23"/>
      <x:c r="F40" s="23"/>
      <x:c r="G40" s="23"/>
      <x:c r="H40" s="2"/>
      <x:c r="I40" s="6"/>
    </x:row>
    <x:row r="41" ht="23" customHeight="1">
      <x:c r="A41" s="2"/>
      <x:c r="B41" s="2" t="str">
        <x:v>亏损完整交易数</x:v>
      </x:c>
      <x:c r="C41" s="2" t="str">
        <x:v>笔</x:v>
      </x:c>
      <x:c r="D41" s="23"/>
      <x:c r="E41" s="23"/>
      <x:c r="F41" s="23"/>
      <x:c r="G41" s="23"/>
      <x:c r="H41" s="2"/>
      <x:c r="I41" s="6"/>
    </x:row>
    <x:row r="42" ht="23" customHeight="1">
      <x:c r="A42" s="2"/>
      <x:c r="B42" s="2" t="str">
        <x:v>零净盈亏完整交易数</x:v>
      </x:c>
      <x:c r="C42" s="2" t="str">
        <x:v>笔</x:v>
      </x:c>
      <x:c r="D42" s="23"/>
      <x:c r="E42" s="23"/>
      <x:c r="F42" s="23"/>
      <x:c r="G42" s="23"/>
      <x:c r="H42" s="2"/>
      <x:c r="I42" s="6"/>
    </x:row>
    <x:row r="43" ht="23" customHeight="1">
      <x:c r="A43" s="2"/>
      <x:c r="B43" s="2" t="str">
        <x:v>完整交易胜率</x:v>
      </x:c>
      <x:c r="C43" s="2" t="str">
        <x:v>%</x:v>
      </x:c>
      <x:c r="D43" s="26" t="str">
        <x:f>IF(AND(COUNT(D40:D42)=3,ISNUMBER(D24),D24&gt;0,MIN(D40:D42)&gt;=0,D40=INT(D40),D41=INT(D41),D42=INT(D42),SUM(D40:D42)=D24),D40/D24,"N/A")</x:f>
        <x:v>N/A</x:v>
      </x:c>
      <x:c r="E43" s="26" t="str">
        <x:f>IF(AND(COUNT(E40:E42)=3,ISNUMBER(E24),E24&gt;0,MIN(E40:E42)&gt;=0,E40=INT(E40),E41=INT(E41),E42=INT(E42),SUM(E40:E42)=E24),E40/E24,"N/A")</x:f>
        <x:v>N/A</x:v>
      </x:c>
      <x:c r="F43" s="26" t="str">
        <x:f>IF(AND(COUNT(F40:F42)=3,ISNUMBER(F24),F24&gt;0,MIN(F40:F42)&gt;=0,F40=INT(F40),F41=INT(F41),F42=INT(F42),SUM(F40:F42)=F24),F40/F24,"N/A")</x:f>
        <x:v>N/A</x:v>
      </x:c>
      <x:c r="G43" s="26" t="str">
        <x:f>IF(AND(COUNT(G40:G42)=3,ISNUMBER(G24),G24&gt;0,MIN(G40:G42)&gt;=0,G40=INT(G40),G41=INT(G41),G42=INT(G42),SUM(G40:G42)=G24),G40/G24,"N/A")</x:f>
        <x:v>N/A</x:v>
      </x:c>
      <x:c r="H43" s="2"/>
      <x:c r="I43" s="6" t="str">
        <x:v>分母包含零净盈亏交易；仅完整盈利 / 亏损 / 零盈亏数量对齐时计算。</x:v>
      </x:c>
    </x:row>
    <x:row r="44" ht="23" customHeight="1">
      <x:c r="A44" s="2"/>
      <x:c r="B44" s="2" t="str">
        <x:v>平均净盈利</x:v>
      </x:c>
      <x:c r="C44" s="2" t="str">
        <x:v>USD</x:v>
      </x:c>
      <x:c r="D44" s="20"/>
      <x:c r="E44" s="20"/>
      <x:c r="F44" s="20"/>
      <x:c r="G44" s="20"/>
      <x:c r="H44" s="2"/>
      <x:c r="I44" s="6"/>
    </x:row>
    <x:row r="45" ht="23" customHeight="1">
      <x:c r="A45" s="2"/>
      <x:c r="B45" s="2" t="str">
        <x:v>平均净亏损绝对值</x:v>
      </x:c>
      <x:c r="C45" s="2" t="str">
        <x:v>USD</x:v>
      </x:c>
      <x:c r="D45" s="20"/>
      <x:c r="E45" s="20"/>
      <x:c r="F45" s="20"/>
      <x:c r="G45" s="20"/>
      <x:c r="H45" s="2"/>
      <x:c r="I45" s="6"/>
    </x:row>
    <x:row r="46" ht="23" customHeight="1">
      <x:c r="A46" s="2"/>
      <x:c r="B46" s="2" t="str">
        <x:v>实际平均盈亏比</x:v>
      </x:c>
      <x:c r="C46" s="2" t="str">
        <x:v>倍</x:v>
      </x:c>
      <x:c r="D46" s="21" t="str">
        <x:f>IF(AND(ISNUMBER(D44),D44&gt;=0,ISNUMBER(D45),D45&gt;0),D44/D45,"N/A")</x:f>
        <x:v>N/A</x:v>
      </x:c>
      <x:c r="E46" s="21" t="str">
        <x:f>IF(AND(ISNUMBER(E44),E44&gt;=0,ISNUMBER(E45),E45&gt;0),E44/E45,"N/A")</x:f>
        <x:v>N/A</x:v>
      </x:c>
      <x:c r="F46" s="21" t="str">
        <x:f>IF(AND(ISNUMBER(F44),F44&gt;=0,ISNUMBER(F45),F45&gt;0),F44/F45,"N/A")</x:f>
        <x:v>N/A</x:v>
      </x:c>
      <x:c r="G46" s="21" t="str">
        <x:f>IF(AND(ISNUMBER(G44),G44&gt;=0,ISNUMBER(G45),G45&gt;0),G44/G45,"N/A")</x:f>
        <x:v>N/A</x:v>
      </x:c>
      <x:c r="H46" s="2"/>
      <x:c r="I46" s="6"/>
    </x:row>
    <x:row r="47" ht="23" customHeight="1">
      <x:c r="A47" s="2"/>
      <x:c r="B47" s="2" t="str">
        <x:v>最大连续亏损次数</x:v>
      </x:c>
      <x:c r="C47" s="2" t="str">
        <x:v>次</x:v>
      </x:c>
      <x:c r="D47" s="23"/>
      <x:c r="E47" s="23"/>
      <x:c r="F47" s="23"/>
      <x:c r="G47" s="23"/>
      <x:c r="H47" s="2"/>
      <x:c r="I47" s="6"/>
    </x:row>
    <x:row r="48" ht="23" customHeight="1">
      <x:c r="A48" s="2"/>
      <x:c r="B48" s="2" t="str">
        <x:v>回到前高所需时间</x:v>
      </x:c>
      <x:c r="C48" s="2" t="str">
        <x:v>天 / 未恢复</x:v>
      </x:c>
      <x:c r="D48" s="20"/>
      <x:c r="E48" s="20"/>
      <x:c r="F48" s="20"/>
      <x:c r="G48" s="20"/>
      <x:c r="H48" s="2"/>
      <x:c r="I48" s="6" t="str">
        <x:v>未恢复填“未恢复”；不能填零天或由 Recovery 比率推算。</x:v>
      </x:c>
    </x:row>
    <x:row r="49" ht="23" customHeight="1">
      <x:c r="A49" s="2"/>
      <x:c r="B49" s="2" t="str">
        <x:v>净利润 / 初始资金</x:v>
      </x:c>
      <x:c r="C49" s="2" t="str">
        <x:v>%</x:v>
      </x:c>
      <x:c r="D49" s="28" t="str">
        <x:f>IF(AND(ISNUMBER(D17),ISNUMBER('评分政策'!$C$11),'评分政策'!$C$11&gt;0),D17/'评分政策'!$C$11,"N/A")</x:f>
        <x:v>N/A</x:v>
      </x:c>
      <x:c r="E49" s="28" t="str">
        <x:f>IF(AND(ISNUMBER(E17),ISNUMBER('评分政策'!$C$11),'评分政策'!$C$11&gt;0),E17/'评分政策'!$C$11,"N/A")</x:f>
        <x:v>N/A</x:v>
      </x:c>
      <x:c r="F49" s="28" t="str">
        <x:f>IF(AND(ISNUMBER(F17),ISNUMBER('评分政策'!$C$11),'评分政策'!$C$11&gt;0),F17/'评分政策'!$C$11,"N/A")</x:f>
        <x:v>N/A</x:v>
      </x:c>
      <x:c r="G49" s="28" t="str">
        <x:f>IF(AND(ISNUMBER(G17),ISNUMBER('评分政策'!$C$11),'评分政策'!$C$11&gt;0),G17/'评分政策'!$C$11,"N/A")</x:f>
        <x:v>N/A</x:v>
      </x:c>
      <x:c r="H49" s="2"/>
      <x:c r="I49" s="6" t="str">
        <x:v>净利润 / 本批初始资金；不当作提款调整后的时间加权收益率。</x:v>
      </x:c>
    </x:row>
    <x:row r="50" ht="27" customHeight="1">
      <x:c r="A50" s="2"/>
      <x:c r="B50" s="9" t="str">
        <x:v>五项分数与加权贡献</x:v>
      </x:c>
      <x:c r="C50" s="9"/>
      <x:c r="D50" s="22"/>
      <x:c r="E50" s="22"/>
      <x:c r="F50" s="22"/>
      <x:c r="G50" s="22"/>
      <x:c r="H50" s="2"/>
      <x:c r="I50" s="6"/>
    </x:row>
    <x:row r="51" ht="23" customHeight="1">
      <x:c r="A51" s="2"/>
      <x:c r="B51" s="2" t="str">
        <x:v>净利润分</x:v>
      </x:c>
      <x:c r="C51" s="2" t="str">
        <x:v>0–100</x:v>
      </x:c>
      <x:c r="D51" s="29" t="str">
        <x:f>IF(AND(ISNUMBER(D17),ISNUMBER('评分政策'!$C$26),'评分政策'!$C$26&gt;0,D28="已核对"),100*MIN(1,MAX(0,D17/'评分政策'!$C$26)),"N/A")</x:f>
        <x:v>N/A</x:v>
      </x:c>
      <x:c r="E51" s="29" t="str">
        <x:f>IF(AND(ISNUMBER(E17),ISNUMBER('评分政策'!$C$26),'评分政策'!$C$26&gt;0,E28="已核对"),100*MIN(1,MAX(0,E17/'评分政策'!$C$26)),"N/A")</x:f>
        <x:v>N/A</x:v>
      </x:c>
      <x:c r="F51" s="29" t="str">
        <x:f>IF(AND(ISNUMBER(F17),ISNUMBER('评分政策'!$C$26),'评分政策'!$C$26&gt;0,F28="已核对"),100*MIN(1,MAX(0,F17/'评分政策'!$C$26)),"N/A")</x:f>
        <x:v>N/A</x:v>
      </x:c>
      <x:c r="G51" s="29" t="str">
        <x:f>IF(AND(ISNUMBER(G17),ISNUMBER('评分政策'!$C$26),'评分政策'!$C$26&gt;0,G28="已核对"),100*MIN(1,MAX(0,G17/'评分政策'!$C$26)),"N/A")</x:f>
        <x:v>N/A</x:v>
      </x:c>
      <x:c r="H51" s="2"/>
      <x:c r="I51" s="6" t="str">
        <x:v>净利≤0时分数为0；已知分项可单独显示，缺项不重分权重。</x:v>
      </x:c>
    </x:row>
    <x:row r="52" ht="23" customHeight="1">
      <x:c r="A52" s="2"/>
      <x:c r="B52" s="2" t="str">
        <x:v>净值回撤分</x:v>
      </x:c>
      <x:c r="C52" s="2" t="str">
        <x:v>0–100</x:v>
      </x:c>
      <x:c r="D52" s="29" t="str">
        <x:f>IF(AND(ISNUMBER(D20),D20&gt;=0,ISNUMBER('评分政策'!$C$27),ISNUMBER('评分政策'!$C$28),'评分政策'!$C$27&gt;=0,'评分政策'!$C$28&gt;'评分政策'!$C$27),100*MIN(1,MAX(0,('评分政策'!$C$28-D20)/('评分政策'!$C$28-'评分政策'!$C$27))),"N/A")</x:f>
        <x:v>N/A</x:v>
      </x:c>
      <x:c r="E52" s="29" t="str">
        <x:f>IF(AND(ISNUMBER(E20),E20&gt;=0,ISNUMBER('评分政策'!$C$27),ISNUMBER('评分政策'!$C$28),'评分政策'!$C$27&gt;=0,'评分政策'!$C$28&gt;'评分政策'!$C$27),100*MIN(1,MAX(0,('评分政策'!$C$28-E20)/('评分政策'!$C$28-'评分政策'!$C$27))),"N/A")</x:f>
        <x:v>N/A</x:v>
      </x:c>
      <x:c r="F52" s="29" t="str">
        <x:f>IF(AND(ISNUMBER(F20),F20&gt;=0,ISNUMBER('评分政策'!$C$27),ISNUMBER('评分政策'!$C$28),'评分政策'!$C$27&gt;=0,'评分政策'!$C$28&gt;'评分政策'!$C$27),100*MIN(1,MAX(0,('评分政策'!$C$28-F20)/('评分政策'!$C$28-'评分政策'!$C$27))),"N/A")</x:f>
        <x:v>N/A</x:v>
      </x:c>
      <x:c r="G52" s="29" t="str">
        <x:f>IF(AND(ISNUMBER(G20),G20&gt;=0,ISNUMBER('评分政策'!$C$27),ISNUMBER('评分政策'!$C$28),'评分政策'!$C$27&gt;=0,'评分政策'!$C$28&gt;'评分政策'!$C$27),100*MIN(1,MAX(0,('评分政策'!$C$28-G20)/('评分政策'!$C$28-'评分政策'!$C$27))),"N/A")</x:f>
        <x:v>N/A</x:v>
      </x:c>
      <x:c r="H52" s="2"/>
      <x:c r="I52" s="6"/>
    </x:row>
    <x:row r="53" ht="23" customHeight="1">
      <x:c r="A53" s="2"/>
      <x:c r="B53" s="2" t="str">
        <x:v>PF 分</x:v>
      </x:c>
      <x:c r="C53" s="2" t="str">
        <x:v>0–100</x:v>
      </x:c>
      <x:c r="D53" s="29" t="str">
        <x:f>IF(AND(ISNUMBER(D21),D21&gt;=0,ISNUMBER(D22),D22&gt;=0,ISNUMBER(D23),D23&gt;0,D29="已核对",ISNUMBER('评分政策'!$C$29),'评分政策'!$C$29&gt;1),IF(ABS(D21-D22/D23)&gt;MAX(0.005,ABS(D22/D23)*0.000001),"N/A",100*MIN(1,MAX(0,(D21-1)/('评分政策'!$C$29-1)))),"N/A")</x:f>
        <x:v>N/A</x:v>
      </x:c>
      <x:c r="E53" s="29" t="str">
        <x:f>IF(AND(ISNUMBER(E21),E21&gt;=0,ISNUMBER(E22),E22&gt;=0,ISNUMBER(E23),E23&gt;0,E29="已核对",ISNUMBER('评分政策'!$C$29),'评分政策'!$C$29&gt;1),IF(ABS(E21-E22/E23)&gt;MAX(0.005,ABS(E22/E23)*0.000001),"N/A",100*MIN(1,MAX(0,(E21-1)/('评分政策'!$C$29-1)))),"N/A")</x:f>
        <x:v>N/A</x:v>
      </x:c>
      <x:c r="F53" s="29" t="str">
        <x:f>IF(AND(ISNUMBER(F21),F21&gt;=0,ISNUMBER(F22),F22&gt;=0,ISNUMBER(F23),F23&gt;0,F29="已核对",ISNUMBER('评分政策'!$C$29),'评分政策'!$C$29&gt;1),IF(ABS(F21-F22/F23)&gt;MAX(0.005,ABS(F22/F23)*0.000001),"N/A",100*MIN(1,MAX(0,(F21-1)/('评分政策'!$C$29-1)))),"N/A")</x:f>
        <x:v>N/A</x:v>
      </x:c>
      <x:c r="G53" s="29" t="str">
        <x:f>IF(AND(ISNUMBER(G21),G21&gt;=0,ISNUMBER(G22),G22&gt;=0,ISNUMBER(G23),G23&gt;0,G29="已核对",ISNUMBER('评分政策'!$C$29),'评分政策'!$C$29&gt;1),IF(ABS(G21-G22/G23)&gt;MAX(0.005,ABS(G22/G23)*0.000001),"N/A",100*MIN(1,MAX(0,(G21-1)/('评分政策'!$C$29-1)))),"N/A")</x:f>
        <x:v>N/A</x:v>
      </x:c>
      <x:c r="H53" s="2"/>
      <x:c r="I53" s="6"/>
    </x:row>
    <x:row r="54" ht="23" customHeight="1">
      <x:c r="A54" s="2"/>
      <x:c r="B54" s="2" t="str">
        <x:v>完整交易数分</x:v>
      </x:c>
      <x:c r="C54" s="2" t="str">
        <x:v>0–100</x:v>
      </x:c>
      <x:c r="D54" s="29" t="str">
        <x:f>IF(AND(ISNUMBER(D24),D24&gt;0,D24=INT(D24),ISNUMBER('评分政策'!$C$30),'评分政策'!$C$30&gt;0,'评分政策'!$C$30=INT('评分政策'!$C$30)),100*MIN(1,MAX(0,D24/'评分政策'!$C$30)),"N/A")</x:f>
        <x:v>N/A</x:v>
      </x:c>
      <x:c r="E54" s="29" t="str">
        <x:f>IF(AND(ISNUMBER(E24),E24&gt;0,E24=INT(E24),ISNUMBER('评分政策'!$C$30),'评分政策'!$C$30&gt;0,'评分政策'!$C$30=INT('评分政策'!$C$30)),100*MIN(1,MAX(0,E24/'评分政策'!$C$30)),"N/A")</x:f>
        <x:v>N/A</x:v>
      </x:c>
      <x:c r="F54" s="29" t="str">
        <x:f>IF(AND(ISNUMBER(F24),F24&gt;0,F24=INT(F24),ISNUMBER('评分政策'!$C$30),'评分政策'!$C$30&gt;0,'评分政策'!$C$30=INT('评分政策'!$C$30)),100*MIN(1,MAX(0,F24/'评分政策'!$C$30)),"N/A")</x:f>
        <x:v>N/A</x:v>
      </x:c>
      <x:c r="G54" s="29" t="str">
        <x:f>IF(AND(ISNUMBER(G24),G24&gt;0,G24=INT(G24),ISNUMBER('评分政策'!$C$30),'评分政策'!$C$30&gt;0,'评分政策'!$C$30=INT('评分政策'!$C$30)),100*MIN(1,MAX(0,G24/'评分政策'!$C$30)),"N/A")</x:f>
        <x:v>N/A</x:v>
      </x:c>
      <x:c r="H54" s="2"/>
      <x:c r="I54" s="6"/>
    </x:row>
    <x:row r="55" ht="23" customHeight="1">
      <x:c r="A55" s="2"/>
      <x:c r="B55" s="2" t="str">
        <x:v>成本分</x:v>
      </x:c>
      <x:c r="C55" s="2" t="str">
        <x:v>0–100</x:v>
      </x:c>
      <x:c r="D55" s="29" t="str">
        <x:f>IF(AND(ISNUMBER(D27),D27&gt;=0,ISNUMBER('评分政策'!$C$31),ISNUMBER('评分政策'!$C$32),'评分政策'!$C$31&gt;=0,'评分政策'!$C$32&gt;'评分政策'!$C$31),100*MIN(1,MAX(0,('评分政策'!$C$32-D27)/('评分政策'!$C$32-'评分政策'!$C$31))),"N/A")</x:f>
        <x:v>N/A</x:v>
      </x:c>
      <x:c r="E55" s="29" t="str">
        <x:f>IF(AND(ISNUMBER(E27),E27&gt;=0,ISNUMBER('评分政策'!$C$31),ISNUMBER('评分政策'!$C$32),'评分政策'!$C$31&gt;=0,'评分政策'!$C$32&gt;'评分政策'!$C$31),100*MIN(1,MAX(0,('评分政策'!$C$32-E27)/('评分政策'!$C$32-'评分政策'!$C$31))),"N/A")</x:f>
        <x:v>N/A</x:v>
      </x:c>
      <x:c r="F55" s="29" t="str">
        <x:f>IF(AND(ISNUMBER(F27),F27&gt;=0,ISNUMBER('评分政策'!$C$31),ISNUMBER('评分政策'!$C$32),'评分政策'!$C$31&gt;=0,'评分政策'!$C$32&gt;'评分政策'!$C$31),100*MIN(1,MAX(0,('评分政策'!$C$32-F27)/('评分政策'!$C$32-'评分政策'!$C$31))),"N/A")</x:f>
        <x:v>N/A</x:v>
      </x:c>
      <x:c r="G55" s="29" t="str">
        <x:f>IF(AND(ISNUMBER(G27),G27&gt;=0,ISNUMBER('评分政策'!$C$31),ISNUMBER('评分政策'!$C$32),'评分政策'!$C$31&gt;=0,'评分政策'!$C$32&gt;'评分政策'!$C$31),100*MIN(1,MAX(0,('评分政策'!$C$32-G27)/('评分政策'!$C$32-'评分政策'!$C$31))),"N/A")</x:f>
        <x:v>N/A</x:v>
      </x:c>
      <x:c r="H55" s="2"/>
      <x:c r="I55" s="6"/>
    </x:row>
    <x:row r="56" ht="23" customHeight="1">
      <x:c r="A56" s="2"/>
      <x:c r="B56" s="2" t="str">
        <x:v>净利润加权贡献</x:v>
      </x:c>
      <x:c r="C56" s="2" t="str">
        <x:v>分</x:v>
      </x:c>
      <x:c r="D56" s="29" t="str">
        <x:f>IF(ISNUMBER(D51),D51*'评分政策'!$C$36,"N/A")</x:f>
        <x:v>N/A</x:v>
      </x:c>
      <x:c r="E56" s="29" t="str">
        <x:f>IF(ISNUMBER(E51),E51*'评分政策'!$C$36,"N/A")</x:f>
        <x:v>N/A</x:v>
      </x:c>
      <x:c r="F56" s="29" t="str">
        <x:f>IF(ISNUMBER(F51),F51*'评分政策'!$C$36,"N/A")</x:f>
        <x:v>N/A</x:v>
      </x:c>
      <x:c r="G56" s="29" t="str">
        <x:f>IF(ISNUMBER(G51),G51*'评分政策'!$C$36,"N/A")</x:f>
        <x:v>N/A</x:v>
      </x:c>
      <x:c r="H56" s="2"/>
      <x:c r="I56" s="6"/>
    </x:row>
    <x:row r="57" ht="23" customHeight="1">
      <x:c r="A57" s="2"/>
      <x:c r="B57" s="2" t="str">
        <x:v>回撤加权贡献</x:v>
      </x:c>
      <x:c r="C57" s="2" t="str">
        <x:v>分</x:v>
      </x:c>
      <x:c r="D57" s="29" t="str">
        <x:f>IF(ISNUMBER(D52),D52*'评分政策'!$C$37,"N/A")</x:f>
        <x:v>N/A</x:v>
      </x:c>
      <x:c r="E57" s="29" t="str">
        <x:f>IF(ISNUMBER(E52),E52*'评分政策'!$C$37,"N/A")</x:f>
        <x:v>N/A</x:v>
      </x:c>
      <x:c r="F57" s="29" t="str">
        <x:f>IF(ISNUMBER(F52),F52*'评分政策'!$C$37,"N/A")</x:f>
        <x:v>N/A</x:v>
      </x:c>
      <x:c r="G57" s="29" t="str">
        <x:f>IF(ISNUMBER(G52),G52*'评分政策'!$C$37,"N/A")</x:f>
        <x:v>N/A</x:v>
      </x:c>
      <x:c r="H57" s="2"/>
      <x:c r="I57" s="6"/>
    </x:row>
    <x:row r="58" ht="23" customHeight="1">
      <x:c r="A58" s="2"/>
      <x:c r="B58" s="2" t="str">
        <x:v>PF 加权贡献</x:v>
      </x:c>
      <x:c r="C58" s="2" t="str">
        <x:v>分</x:v>
      </x:c>
      <x:c r="D58" s="29" t="str">
        <x:f>IF(ISNUMBER(D53),D53*'评分政策'!$C$38,"N/A")</x:f>
        <x:v>N/A</x:v>
      </x:c>
      <x:c r="E58" s="29" t="str">
        <x:f>IF(ISNUMBER(E53),E53*'评分政策'!$C$38,"N/A")</x:f>
        <x:v>N/A</x:v>
      </x:c>
      <x:c r="F58" s="29" t="str">
        <x:f>IF(ISNUMBER(F53),F53*'评分政策'!$C$38,"N/A")</x:f>
        <x:v>N/A</x:v>
      </x:c>
      <x:c r="G58" s="29" t="str">
        <x:f>IF(ISNUMBER(G53),G53*'评分政策'!$C$38,"N/A")</x:f>
        <x:v>N/A</x:v>
      </x:c>
      <x:c r="H58" s="2"/>
      <x:c r="I58" s="6"/>
    </x:row>
    <x:row r="59" ht="23" customHeight="1">
      <x:c r="A59" s="2"/>
      <x:c r="B59" s="2" t="str">
        <x:v>交易数加权贡献</x:v>
      </x:c>
      <x:c r="C59" s="2" t="str">
        <x:v>分</x:v>
      </x:c>
      <x:c r="D59" s="29" t="str">
        <x:f>IF(ISNUMBER(D54),D54*'评分政策'!$C$39,"N/A")</x:f>
        <x:v>N/A</x:v>
      </x:c>
      <x:c r="E59" s="29" t="str">
        <x:f>IF(ISNUMBER(E54),E54*'评分政策'!$C$39,"N/A")</x:f>
        <x:v>N/A</x:v>
      </x:c>
      <x:c r="F59" s="29" t="str">
        <x:f>IF(ISNUMBER(F54),F54*'评分政策'!$C$39,"N/A")</x:f>
        <x:v>N/A</x:v>
      </x:c>
      <x:c r="G59" s="29" t="str">
        <x:f>IF(ISNUMBER(G54),G54*'评分政策'!$C$39,"N/A")</x:f>
        <x:v>N/A</x:v>
      </x:c>
      <x:c r="H59" s="2"/>
      <x:c r="I59" s="6"/>
    </x:row>
    <x:row r="60" ht="23" customHeight="1">
      <x:c r="A60" s="2"/>
      <x:c r="B60" s="2" t="str">
        <x:v>成本加权贡献</x:v>
      </x:c>
      <x:c r="C60" s="2" t="str">
        <x:v>分</x:v>
      </x:c>
      <x:c r="D60" s="29" t="str">
        <x:f>IF(ISNUMBER(D55),D55*'评分政策'!$C$40,"N/A")</x:f>
        <x:v>N/A</x:v>
      </x:c>
      <x:c r="E60" s="29" t="str">
        <x:f>IF(ISNUMBER(E55),E55*'评分政策'!$C$40,"N/A")</x:f>
        <x:v>N/A</x:v>
      </x:c>
      <x:c r="F60" s="29" t="str">
        <x:f>IF(ISNUMBER(F55),F55*'评分政策'!$C$40,"N/A")</x:f>
        <x:v>N/A</x:v>
      </x:c>
      <x:c r="G60" s="29" t="str">
        <x:f>IF(ISNUMBER(G55),G55*'评分政策'!$C$40,"N/A")</x:f>
        <x:v>N/A</x:v>
      </x:c>
      <x:c r="H60" s="2"/>
      <x:c r="I60" s="6"/>
    </x:row>
    <x:row r="61" ht="23" customHeight="1">
      <x:c r="A61" s="2"/>
      <x:c r="B61" s="2"/>
      <x:c r="C61" s="2"/>
      <x:c r="D61" s="21"/>
      <x:c r="E61" s="21"/>
      <x:c r="F61" s="21"/>
      <x:c r="G61" s="21"/>
      <x:c r="H61" s="2"/>
      <x:c r="I61" s="6"/>
    </x:row>
    <x:row r="62" ht="27" customHeight="1">
      <x:c r="A62" s="2"/>
      <x:c r="B62" s="9" t="str">
        <x:v>相对当前最佳 D 列的差额</x:v>
      </x:c>
      <x:c r="C62" s="9"/>
      <x:c r="D62" s="22"/>
      <x:c r="E62" s="22"/>
      <x:c r="F62" s="22"/>
      <x:c r="G62" s="22"/>
      <x:c r="H62" s="2"/>
      <x:c r="I62" s="6"/>
    </x:row>
    <x:row r="63" ht="23" customHeight="1">
      <x:c r="A63" s="2"/>
      <x:c r="B63" s="2" t="str">
        <x:v>净利润差额</x:v>
      </x:c>
      <x:c r="C63" s="2" t="str">
        <x:v>USD</x:v>
      </x:c>
      <x:c r="D63" s="21" t="str">
        <x:f>IF(AND(D9="已核对",$D$9="已核对",D8&lt;&gt;"",D8=$D$8,ISNUMBER(D17),ISNUMBER($D$17)),(D17-$D$17),"N/A")</x:f>
        <x:v>N/A</x:v>
      </x:c>
      <x:c r="E63" s="21" t="str">
        <x:f>IF(AND(E9="已核对",$D$9="已核对",E8&lt;&gt;"",E8=$D$8,ISNUMBER(E17),ISNUMBER($D$17)),(E17-$D$17),"N/A")</x:f>
        <x:v>N/A</x:v>
      </x:c>
      <x:c r="F63" s="21" t="str">
        <x:f>IF(AND(F9="已核对",$D$9="已核对",F8&lt;&gt;"",F8=$D$8,ISNUMBER(F17),ISNUMBER($D$17)),(F17-$D$17),"N/A")</x:f>
        <x:v>N/A</x:v>
      </x:c>
      <x:c r="G63" s="21" t="str">
        <x:f>IF(AND(G9="已核对",$D$9="已核对",G8&lt;&gt;"",G8=$D$8,ISNUMBER(G17),ISNUMBER($D$17)),(G17-$D$17),"N/A")</x:f>
        <x:v>N/A</x:v>
      </x:c>
      <x:c r="H63" s="2"/>
      <x:c r="I63" s="6" t="str">
        <x:v>正数表示利润增加；回撤、成本正数表示压力或费用增加。</x:v>
      </x:c>
    </x:row>
    <x:row r="64" ht="23" customHeight="1">
      <x:c r="A64" s="2"/>
      <x:c r="B64" s="2" t="str">
        <x:v>最大净值回撤金额差额</x:v>
      </x:c>
      <x:c r="C64" s="2" t="str">
        <x:v>USD</x:v>
      </x:c>
      <x:c r="D64" s="21" t="str">
        <x:f>IF(AND(D9="已核对",$D$9="已核对",D8&lt;&gt;"",D8=$D$8,ISNUMBER(D18),ISNUMBER($D$18)),(D18-$D$18),"N/A")</x:f>
        <x:v>N/A</x:v>
      </x:c>
      <x:c r="E64" s="21" t="str">
        <x:f>IF(AND(E9="已核对",$D$9="已核对",E8&lt;&gt;"",E8=$D$8,ISNUMBER(E18),ISNUMBER($D$18)),(E18-$D$18),"N/A")</x:f>
        <x:v>N/A</x:v>
      </x:c>
      <x:c r="F64" s="21" t="str">
        <x:f>IF(AND(F9="已核对",$D$9="已核对",F8&lt;&gt;"",F8=$D$8,ISNUMBER(F18),ISNUMBER($D$18)),(F18-$D$18),"N/A")</x:f>
        <x:v>N/A</x:v>
      </x:c>
      <x:c r="G64" s="21" t="str">
        <x:f>IF(AND(G9="已核对",$D$9="已核对",G8&lt;&gt;"",G8=$D$8,ISNUMBER(G18),ISNUMBER($D$18)),(G18-$D$18),"N/A")</x:f>
        <x:v>N/A</x:v>
      </x:c>
      <x:c r="H64" s="2"/>
      <x:c r="I64" s="6"/>
    </x:row>
    <x:row r="65" ht="23" customHeight="1">
      <x:c r="A65" s="2"/>
      <x:c r="B65" s="2" t="str">
        <x:v>最大相对回撤差额</x:v>
      </x:c>
      <x:c r="C65" s="2" t="str">
        <x:v>百分点</x:v>
      </x:c>
      <x:c r="D65" s="21" t="str">
        <x:f>IF(AND(D9="已核对",$D$9="已核对",D8&lt;&gt;"",D8=$D$8,ISNUMBER(D20),ISNUMBER($D$20)),(D20-$D$20),"N/A")</x:f>
        <x:v>N/A</x:v>
      </x:c>
      <x:c r="E65" s="21" t="str">
        <x:f>IF(AND(E9="已核对",$D$9="已核对",E8&lt;&gt;"",E8=$D$8,ISNUMBER(E20),ISNUMBER($D$20)),(E20-$D$20),"N/A")</x:f>
        <x:v>N/A</x:v>
      </x:c>
      <x:c r="F65" s="21" t="str">
        <x:f>IF(AND(F9="已核对",$D$9="已核对",F8&lt;&gt;"",F8=$D$8,ISNUMBER(F20),ISNUMBER($D$20)),(F20-$D$20),"N/A")</x:f>
        <x:v>N/A</x:v>
      </x:c>
      <x:c r="G65" s="21" t="str">
        <x:f>IF(AND(G9="已核对",$D$9="已核对",G8&lt;&gt;"",G8=$D$8,ISNUMBER(G20),ISNUMBER($D$20)),(G20-$D$20),"N/A")</x:f>
        <x:v>N/A</x:v>
      </x:c>
      <x:c r="H65" s="2"/>
      <x:c r="I65" s="6"/>
    </x:row>
    <x:row r="66" ht="23" customHeight="1">
      <x:c r="A66" s="2"/>
      <x:c r="B66" s="2" t="str">
        <x:v>PF 差额</x:v>
      </x:c>
      <x:c r="C66" s="2" t="str">
        <x:v>倍</x:v>
      </x:c>
      <x:c r="D66" s="21" t="str">
        <x:f>IF(AND(D9="已核对",$D$9="已核对",D8&lt;&gt;"",D8=$D$8,ISNUMBER(D21),ISNUMBER($D$21)),(D21-$D$21),"N/A")</x:f>
        <x:v>N/A</x:v>
      </x:c>
      <x:c r="E66" s="21" t="str">
        <x:f>IF(AND(E9="已核对",$D$9="已核对",E8&lt;&gt;"",E8=$D$8,ISNUMBER(E21),ISNUMBER($D$21)),(E21-$D$21),"N/A")</x:f>
        <x:v>N/A</x:v>
      </x:c>
      <x:c r="F66" s="21" t="str">
        <x:f>IF(AND(F9="已核对",$D$9="已核对",F8&lt;&gt;"",F8=$D$8,ISNUMBER(F21),ISNUMBER($D$21)),(F21-$D$21),"N/A")</x:f>
        <x:v>N/A</x:v>
      </x:c>
      <x:c r="G66" s="21" t="str">
        <x:f>IF(AND(G9="已核对",$D$9="已核对",G8&lt;&gt;"",G8=$D$8,ISNUMBER(G21),ISNUMBER($D$21)),(G21-$D$21),"N/A")</x:f>
        <x:v>N/A</x:v>
      </x:c>
      <x:c r="H66" s="2"/>
      <x:c r="I66" s="6"/>
    </x:row>
    <x:row r="67" ht="23" customHeight="1">
      <x:c r="A67" s="2"/>
      <x:c r="B67" s="2" t="str">
        <x:v>完整交易数差额</x:v>
      </x:c>
      <x:c r="C67" s="2" t="str">
        <x:v>笔</x:v>
      </x:c>
      <x:c r="D67" s="21" t="str">
        <x:f>IF(AND(D9="已核对",$D$9="已核对",D8&lt;&gt;"",D8=$D$8,ISNUMBER(D24),ISNUMBER($D$24)),(D24-$D$24),"N/A")</x:f>
        <x:v>N/A</x:v>
      </x:c>
      <x:c r="E67" s="21" t="str">
        <x:f>IF(AND(E9="已核对",$D$9="已核对",E8&lt;&gt;"",E8=$D$8,ISNUMBER(E24),ISNUMBER($D$24)),(E24-$D$24),"N/A")</x:f>
        <x:v>N/A</x:v>
      </x:c>
      <x:c r="F67" s="21" t="str">
        <x:f>IF(AND(F9="已核对",$D$9="已核对",F8&lt;&gt;"",F8=$D$8,ISNUMBER(F24),ISNUMBER($D$24)),(F24-$D$24),"N/A")</x:f>
        <x:v>N/A</x:v>
      </x:c>
      <x:c r="G67" s="21" t="str">
        <x:f>IF(AND(G9="已核对",$D$9="已核对",G8&lt;&gt;"",G8=$D$8,ISNUMBER(G24),ISNUMBER($D$24)),(G24-$D$24),"N/A")</x:f>
        <x:v>N/A</x:v>
      </x:c>
      <x:c r="H67" s="2"/>
      <x:c r="I67" s="6"/>
    </x:row>
    <x:row r="68" ht="23" customHeight="1">
      <x:c r="A68" s="2"/>
      <x:c r="B68" s="2" t="str">
        <x:v>每往返标准手成本差额</x:v>
      </x:c>
      <x:c r="C68" s="2" t="str">
        <x:v>USD / RT</x:v>
      </x:c>
      <x:c r="D68" s="21" t="str">
        <x:f>IF(AND(D9="已核对",$D$9="已核对",D8&lt;&gt;"",D8=$D$8,ISNUMBER(D27),ISNUMBER($D$27)),(D27-$D$27),"N/A")</x:f>
        <x:v>N/A</x:v>
      </x:c>
      <x:c r="E68" s="21" t="str">
        <x:f>IF(AND(E9="已核对",$D$9="已核对",E8&lt;&gt;"",E8=$D$8,ISNUMBER(E27),ISNUMBER($D$27)),(E27-$D$27),"N/A")</x:f>
        <x:v>N/A</x:v>
      </x:c>
      <x:c r="F68" s="21" t="str">
        <x:f>IF(AND(F9="已核对",$D$9="已核对",F8&lt;&gt;"",F8=$D$8,ISNUMBER(F27),ISNUMBER($D$27)),(F27-$D$27),"N/A")</x:f>
        <x:v>N/A</x:v>
      </x:c>
      <x:c r="G68" s="21" t="str">
        <x:f>IF(AND(G9="已核对",$D$9="已核对",G8&lt;&gt;"",G8=$D$8,ISNUMBER(G27),ISNUMBER($D$27)),(G27-$D$27),"N/A")</x:f>
        <x:v>N/A</x:v>
      </x:c>
      <x:c r="H68" s="2"/>
      <x:c r="I68" s="6"/>
    </x:row>
    <x:row r="69" ht="23" customHeight="1">
      <x:c r="A69" s="2"/>
      <x:c r="B69" s="2" t="str">
        <x:v>综合评分差额</x:v>
      </x:c>
      <x:c r="C69" s="2" t="str">
        <x:v>百分点</x:v>
      </x:c>
      <x:c r="D69" s="21" t="str">
        <x:f>IF(AND(D9="已核对",$D$9="已核对",D8&lt;&gt;"",D8=$D$8,ISNUMBER(D10),ISNUMBER($D$10)),(D10-$D$10)*100,"N/A")</x:f>
        <x:v>N/A</x:v>
      </x:c>
      <x:c r="E69" s="21" t="str">
        <x:f>IF(AND(E9="已核对",$D$9="已核对",E8&lt;&gt;"",E8=$D$8,ISNUMBER(E10),ISNUMBER($D$10)),(E10-$D$10)*100,"N/A")</x:f>
        <x:v>N/A</x:v>
      </x:c>
      <x:c r="F69" s="21" t="str">
        <x:f>IF(AND(F9="已核对",$D$9="已核对",F8&lt;&gt;"",F8=$D$8,ISNUMBER(F10),ISNUMBER($D$10)),(F10-$D$10)*100,"N/A")</x:f>
        <x:v>N/A</x:v>
      </x:c>
      <x:c r="G69" s="21" t="str">
        <x:f>IF(AND(G9="已核对",$D$9="已核对",G8&lt;&gt;"",G8=$D$8,ISNUMBER(G10),ISNUMBER($D$10)),(G10-$D$10)*100,"N/A")</x:f>
        <x:v>N/A</x:v>
      </x:c>
      <x:c r="H69" s="2"/>
      <x:c r="I69" s="6" t="str">
        <x:v>仅同组、同政策且两个总分有效时显示；达到分项封顶后仍看原始差额。</x:v>
      </x:c>
    </x:row>
    <x:row r="70" ht="23" customHeight="1">
      <x:c r="A70" s="2"/>
      <x:c r="B70" s="2"/>
      <x:c r="C70" s="2"/>
      <x:c r="D70" s="21"/>
      <x:c r="E70" s="21"/>
      <x:c r="F70" s="21"/>
      <x:c r="G70" s="21"/>
      <x:c r="H70" s="2"/>
      <x:c r="I70" s="6"/>
    </x:row>
    <x:row r="71" ht="27" customHeight="1">
      <x:c r="A71" s="2"/>
      <x:c r="B71" s="9" t="str">
        <x:v>手数与提款后的承受能力</x:v>
      </x:c>
      <x:c r="C71" s="9"/>
      <x:c r="D71" s="22"/>
      <x:c r="E71" s="22"/>
      <x:c r="F71" s="22"/>
      <x:c r="G71" s="22"/>
      <x:c r="H71" s="2"/>
      <x:c r="I71" s="6"/>
    </x:row>
    <x:row r="72" ht="23" customHeight="1">
      <x:c r="A72" s="2"/>
      <x:c r="B72" s="2" t="str">
        <x:v>起步 / 最大手数与初始止损</x:v>
      </x:c>
      <x:c r="C72" s="2" t="str">
        <x:v>注明单位</x:v>
      </x:c>
      <x:c r="D72" s="20"/>
      <x:c r="E72" s="20"/>
      <x:c r="F72" s="20"/>
      <x:c r="G72" s="20"/>
      <x:c r="H72" s="2"/>
      <x:c r="I72" s="6" t="str">
        <x:v>按合约、初始 SL 与费用预算计算手数；不按本金表直接套手数。</x:v>
      </x:c>
    </x:row>
    <x:row r="73" ht="23" customHeight="1">
      <x:c r="A73" s="2"/>
      <x:c r="B73" s="2" t="str">
        <x:v>持仓及加仓总风险预算</x:v>
      </x:c>
      <x:c r="C73" s="2" t="str">
        <x:v>USD</x:v>
      </x:c>
      <x:c r="D73" s="20"/>
      <x:c r="E73" s="20"/>
      <x:c r="F73" s="20"/>
      <x:c r="G73" s="20"/>
      <x:c r="H73" s="2"/>
      <x:c r="I73" s="6"/>
    </x:row>
    <x:row r="74" ht="23" customHeight="1">
      <x:c r="A74" s="2"/>
      <x:c r="B74" s="2" t="str">
        <x:v>拟提款金额</x:v>
      </x:c>
      <x:c r="C74" s="2" t="str">
        <x:v>USD</x:v>
      </x:c>
      <x:c r="D74" s="20"/>
      <x:c r="E74" s="20"/>
      <x:c r="F74" s="20"/>
      <x:c r="G74" s="20"/>
      <x:c r="H74" s="2"/>
      <x:c r="I74" s="6"/>
    </x:row>
    <x:row r="75" ht="23" customHeight="1">
      <x:c r="A75" s="2"/>
      <x:c r="B75" s="2" t="str">
        <x:v>提款前权益</x:v>
      </x:c>
      <x:c r="C75" s="2" t="str">
        <x:v>USD</x:v>
      </x:c>
      <x:c r="D75" s="20"/>
      <x:c r="E75" s="20"/>
      <x:c r="F75" s="20"/>
      <x:c r="G75" s="20"/>
      <x:c r="H75" s="2"/>
      <x:c r="I75" s="6"/>
    </x:row>
    <x:row r="76" ht="23" customHeight="1">
      <x:c r="A76" s="2"/>
      <x:c r="B76" s="2" t="str">
        <x:v>提款后权益（静态）</x:v>
      </x:c>
      <x:c r="C76" s="2" t="str">
        <x:v>USD</x:v>
      </x:c>
      <x:c r="D76" s="21" t="str">
        <x:f>IF(AND(COUNT(D74:D75)=2,D74&gt;=0),D75-D74,"N/A")</x:f>
        <x:v>N/A</x:v>
      </x:c>
      <x:c r="E76" s="21" t="str">
        <x:f>IF(AND(COUNT(E74:E75)=2,E74&gt;=0),E75-E74,"N/A")</x:f>
        <x:v>N/A</x:v>
      </x:c>
      <x:c r="F76" s="21" t="str">
        <x:f>IF(AND(COUNT(F74:F75)=2,F74&gt;=0),F75-F74,"N/A")</x:f>
        <x:v>N/A</x:v>
      </x:c>
      <x:c r="G76" s="21" t="str">
        <x:f>IF(AND(COUNT(G74:G75)=2,G74&gt;=0),G75-G74,"N/A")</x:f>
        <x:v>N/A</x:v>
      </x:c>
      <x:c r="H76" s="2"/>
      <x:c r="I76" s="6" t="str">
        <x:v>只是同一时点权益减提款金额；不模拟未来路径或券商实际提款许可。</x:v>
      </x:c>
    </x:row>
    <x:row r="77" ht="23" customHeight="1">
      <x:c r="A77" s="2"/>
      <x:c r="B77" s="2" t="str">
        <x:v>同一时点已用保证金</x:v>
      </x:c>
      <x:c r="C77" s="2" t="str">
        <x:v>USD</x:v>
      </x:c>
      <x:c r="D77" s="20"/>
      <x:c r="E77" s="20"/>
      <x:c r="F77" s="20"/>
      <x:c r="G77" s="20"/>
      <x:c r="H77" s="2"/>
      <x:c r="I77" s="6"/>
    </x:row>
    <x:row r="78" ht="23" customHeight="1">
      <x:c r="A78" s="2"/>
      <x:c r="B78" s="2" t="str">
        <x:v>提款后保证金水平（静态）</x:v>
      </x:c>
      <x:c r="C78" s="2" t="str">
        <x:v>% 数值</x:v>
      </x:c>
      <x:c r="D78" s="25" t="str">
        <x:f>IF(AND(ISNUMBER(D76),ISNUMBER(D77),D77&gt;0),D76/D77*100,"N/A")</x:f>
        <x:v>N/A</x:v>
      </x:c>
      <x:c r="E78" s="25" t="str">
        <x:f>IF(AND(ISNUMBER(E76),ISNUMBER(E77),E77&gt;0),E76/E77*100,"N/A")</x:f>
        <x:v>N/A</x:v>
      </x:c>
      <x:c r="F78" s="25" t="str">
        <x:f>IF(AND(ISNUMBER(F76),ISNUMBER(F77),F77&gt;0),F76/F77*100,"N/A")</x:f>
        <x:v>N/A</x:v>
      </x:c>
      <x:c r="G78" s="25" t="str">
        <x:f>IF(AND(ISNUMBER(G76),ISNUMBER(G77),G77&gt;0),G76/G77*100,"N/A")</x:f>
        <x:v>N/A</x:v>
      </x:c>
      <x:c r="H78" s="2"/>
      <x:c r="I78" s="6" t="str">
        <x:v>保证金为零时标 N/A；提款不一定被券商允许，压力与持续开单另测。</x:v>
      </x:c>
    </x:row>
    <x:row r="79" ht="23" customHeight="1">
      <x:c r="A79" s="2"/>
      <x:c r="B79" s="2" t="str">
        <x:v>预登记所需资金储备</x:v>
      </x:c>
      <x:c r="C79" s="2" t="str">
        <x:v>USD</x:v>
      </x:c>
      <x:c r="D79" s="20"/>
      <x:c r="E79" s="20"/>
      <x:c r="F79" s="20"/>
      <x:c r="G79" s="20"/>
      <x:c r="H79" s="2"/>
      <x:c r="I79" s="6"/>
    </x:row>
    <x:row r="80" ht="23" customHeight="1">
      <x:c r="A80" s="2"/>
      <x:c r="B80" s="2" t="str">
        <x:v>提款后储备差额（静态）</x:v>
      </x:c>
      <x:c r="C80" s="2" t="str">
        <x:v>USD</x:v>
      </x:c>
      <x:c r="D80" s="21" t="str">
        <x:f>IF(AND(ISNUMBER(D76),ISNUMBER(D79),D79&gt;=0),D76-D79,"N/A")</x:f>
        <x:v>N/A</x:v>
      </x:c>
      <x:c r="E80" s="21" t="str">
        <x:f>IF(AND(ISNUMBER(E76),ISNUMBER(E79),E79&gt;=0),E76-E79,"N/A")</x:f>
        <x:v>N/A</x:v>
      </x:c>
      <x:c r="F80" s="21" t="str">
        <x:f>IF(AND(ISNUMBER(F76),ISNUMBER(F79),F79&gt;=0),F76-F79,"N/A")</x:f>
        <x:v>N/A</x:v>
      </x:c>
      <x:c r="G80" s="21" t="str">
        <x:f>IF(AND(ISNUMBER(G76),ISNUMBER(G79),G79&gt;=0),G76-G79,"N/A")</x:f>
        <x:v>N/A</x:v>
      </x:c>
      <x:c r="H80" s="2"/>
      <x:c r="I80" s="6" t="str">
        <x:v>负数表示低于预登记储备；正数也不证明不会爆仓。</x:v>
      </x:c>
    </x:row>
    <x:row r="81" ht="23" customHeight="1">
      <x:c r="A81" s="2"/>
      <x:c r="B81" s="2" t="str">
        <x:v>提款情景实测结果</x:v>
      </x:c>
      <x:c r="C81" s="2" t="str">
        <x:v>状态</x:v>
      </x:c>
      <x:c r="D81" s="20"/>
      <x:c r="E81" s="20"/>
      <x:c r="F81" s="20"/>
      <x:c r="G81" s="20"/>
      <x:c r="H81" s="2"/>
      <x:c r="I81" s="6" t="str">
        <x:v>需记录提款后连续亏损、保证金及持续运作测试，报告入口在“策略与验证”。</x:v>
      </x:c>
    </x:row>
    <x:row r="82" ht="23" customHeight="1">
      <x:c r="A82" s="2"/>
      <x:c r="B82" s="2"/>
      <x:c r="C82" s="2"/>
      <x:c r="D82" s="21"/>
      <x:c r="E82" s="21"/>
      <x:c r="F82" s="21"/>
      <x:c r="G82" s="21"/>
      <x:c r="H82" s="2"/>
      <x:c r="I82" s="6"/>
    </x:row>
    <x:row r="83" ht="23" customHeight="1">
      <x:c r="A83" s="2"/>
      <x:c r="B83" s="2"/>
      <x:c r="C83" s="2"/>
      <x:c r="D83" s="21"/>
      <x:c r="E83" s="21"/>
      <x:c r="F83" s="21"/>
      <x:c r="G83" s="21"/>
      <x:c r="H83" s="2"/>
      <x:c r="I83" s="6"/>
    </x:row>
    <x:row r="84" ht="23" customHeight="1">
      <x:c r="A84" s="2"/>
      <x:c r="B84" s="2"/>
      <x:c r="C84" s="2"/>
      <x:c r="D84" s="21"/>
      <x:c r="E84" s="21"/>
      <x:c r="F84" s="21"/>
      <x:c r="G84" s="21"/>
      <x:c r="H84" s="2"/>
      <x:c r="I84" s="6"/>
    </x:row>
    <x:row r="85" ht="27" customHeight="1">
      <x:c r="A85" s="2"/>
      <x:c r="B85" s="9" t="str">
        <x:v>已配对交易量对应成本拆分</x:v>
      </x:c>
      <x:c r="C85" s="9"/>
      <x:c r="D85" s="22"/>
      <x:c r="E85" s="22"/>
      <x:c r="F85" s="22"/>
      <x:c r="G85" s="22"/>
      <x:c r="H85" s="2"/>
      <x:c r="I85" s="6"/>
    </x:row>
    <x:row r="86" ht="23" customHeight="1">
      <x:c r="A86" s="2"/>
      <x:c r="B86" s="2" t="str">
        <x:v>佣金及实际费用支出</x:v>
      </x:c>
      <x:c r="C86" s="2" t="str">
        <x:v>USD</x:v>
      </x:c>
      <x:c r="D86" s="20"/>
      <x:c r="E86" s="20"/>
      <x:c r="F86" s="20"/>
      <x:c r="G86" s="20"/>
      <x:c r="H86" s="2"/>
      <x:c r="I86" s="6" t="str">
        <x:v>仅已配对交易量。实际费用、报价内含估计与新增压力必须分开。</x:v>
      </x:c>
    </x:row>
    <x:row r="87" ht="23" customHeight="1">
      <x:c r="A87" s="2"/>
      <x:c r="B87" s="2" t="str">
        <x:v>负隔夜费支出</x:v>
      </x:c>
      <x:c r="C87" s="2" t="str">
        <x:v>USD</x:v>
      </x:c>
      <x:c r="D87" s="20"/>
      <x:c r="E87" s="20"/>
      <x:c r="F87" s="20"/>
      <x:c r="G87" s="20"/>
      <x:c r="H87" s="2"/>
      <x:c r="I87" s="6"/>
    </x:row>
    <x:row r="88" ht="23" customHeight="1">
      <x:c r="A88" s="2"/>
      <x:c r="B88" s="2" t="str">
        <x:v>点差估计（不重叠）</x:v>
      </x:c>
      <x:c r="C88" s="2" t="str">
        <x:v>USD</x:v>
      </x:c>
      <x:c r="D88" s="20"/>
      <x:c r="E88" s="20"/>
      <x:c r="F88" s="20"/>
      <x:c r="G88" s="20"/>
      <x:c r="H88" s="2"/>
      <x:c r="I88" s="6" t="str">
        <x:v>点差与滑点估计不得重复描述同一执行差额；缺数据就留空。</x:v>
      </x:c>
    </x:row>
    <x:row r="89" ht="23" customHeight="1">
      <x:c r="A89" s="2"/>
      <x:c r="B89" s="2" t="str">
        <x:v>不利滑点估计（不重叠）</x:v>
      </x:c>
      <x:c r="C89" s="2" t="str">
        <x:v>USD</x:v>
      </x:c>
      <x:c r="D89" s="20"/>
      <x:c r="E89" s="20"/>
      <x:c r="F89" s="20"/>
      <x:c r="G89" s="20"/>
      <x:c r="H89" s="2"/>
      <x:c r="I89" s="6"/>
    </x:row>
    <x:row r="90" ht="23" customHeight="1">
      <x:c r="A90" s="2"/>
      <x:c r="B90" s="2" t="str">
        <x:v>返佣 / 正隔夜 / 有利滑点</x:v>
      </x:c>
      <x:c r="C90" s="2" t="str">
        <x:v>USD</x:v>
      </x:c>
      <x:c r="D90" s="20"/>
      <x:c r="E90" s="20"/>
      <x:c r="F90" s="20"/>
      <x:c r="G90" s="20"/>
      <x:c r="H90" s="2"/>
      <x:c r="I90" s="6" t="str">
        <x:v>有利项目另记；净利润仍用实际净额，本行不抵减非负摩擦成本。</x:v>
      </x:c>
    </x:row>
    <x:row r="91" ht="23" customHeight="1">
      <x:c r="A91" s="2"/>
      <x:c r="B91" s="2"/>
      <x:c r="C91" s="2"/>
      <x:c r="D91" s="5"/>
      <x:c r="E91" s="5"/>
      <x:c r="F91" s="5"/>
      <x:c r="G91" s="5"/>
      <x:c r="H91" s="2"/>
      <x:c r="I91" s="6"/>
    </x:row>
    <x:row r="92" ht="23" customHeight="1">
      <x:c r="A92" s="2"/>
      <x:c r="B92" s="2"/>
      <x:c r="C92" s="2"/>
      <x:c r="D92" s="5"/>
      <x:c r="E92" s="5"/>
      <x:c r="F92" s="5"/>
      <x:c r="G92" s="5"/>
      <x:c r="H92" s="2"/>
      <x:c r="I92" s="6"/>
    </x:row>
    <x:row r="93" ht="23" customHeight="1">
      <x:c r="A93" s="2"/>
      <x:c r="B93" s="2"/>
      <x:c r="C93" s="2"/>
      <x:c r="D93" s="5"/>
      <x:c r="E93" s="5"/>
      <x:c r="F93" s="5"/>
      <x:c r="G93" s="5"/>
      <x:c r="H93" s="2"/>
      <x:c r="I93" s="6"/>
    </x:row>
  </x:sheetData>
  <x:conditionalFormatting sqref="D10:G13">
    <x:cfRule type="containsText" dxfId="0" priority="1" operator="containsText" text="未"/>
  </x:conditionalFormatting>
  <x:conditionalFormatting sqref="D36:G36">
    <x:cfRule type="containsText" dxfId="1" priority="2" operator="containsText" text="未"/>
  </x:conditionalFormatting>
  <x:conditionalFormatting sqref="D20:G20">
    <x:cfRule type="cellIs" dxfId="4" priority="3" operator="greaterThan">
      <x:formula>30</x:formula>
    </x:cfRule>
  </x:conditionalFormatting>
  <x:conditionalFormatting sqref="D21:G21">
    <x:cfRule type="cellIs" dxfId="5" priority="4" operator="greaterThan">
      <x:formula>2.5</x:formula>
    </x:cfRule>
  </x:conditionalFormatting>
  <x:dataValidations count="4">
    <x:dataValidation type="list" sqref="D9:G9">
      <x:formula1>"已核对,未核对"</x:formula1>
    </x:dataValidation>
    <x:dataValidation type="list" sqref="D28:G28">
      <x:formula1>"已核对,未核对"</x:formula1>
    </x:dataValidation>
    <x:dataValidation type="list" sqref="D29:G29">
      <x:formula1>"已核对,未核对"</x:formula1>
    </x:dataValidation>
    <x:dataValidation type="list" sqref="D81:G81">
      <x:formula1>"未测试,通过,未通过,不适用（附依据）"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  <x:col min="9" max="9" width="7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6"/>
    </x:row>
    <x:row r="2" ht="32" customHeight="1">
      <x:c r="A2" s="2"/>
      <x:c r="B2" s="3" t="str">
        <x:v>评分政策与同条件比较</x:v>
      </x:c>
      <x:c r="C2" s="3"/>
      <x:c r="D2" s="3"/>
      <x:c r="E2" s="3"/>
      <x:c r="F2" s="3"/>
      <x:c r="G2" s="3"/>
      <x:c r="H2" s="2"/>
      <x:c r="I2" s="6"/>
    </x:row>
    <x:row r="3" ht="23" customHeight="1">
      <x:c r="A3" s="2"/>
      <x:c r="B3" s="4" t="str">
        <x:v>事前冻结；每批另存</x:v>
      </x:c>
      <x:c r="C3" s="4"/>
      <x:c r="D3" s="4"/>
      <x:c r="E3" s="4"/>
      <x:c r="F3" s="4"/>
      <x:c r="G3" s="4"/>
      <x:c r="H3" s="2"/>
      <x:c r="I3" s="6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6"/>
    </x:row>
    <x:row r="5" ht="27" customHeight="1">
      <x:c r="A5" s="2"/>
      <x:c r="B5" s="9" t="str">
        <x:v>比较组登记</x:v>
      </x:c>
      <x:c r="C5" s="9"/>
      <x:c r="D5" s="10"/>
      <x:c r="E5" s="10"/>
      <x:c r="F5" s="10"/>
      <x:c r="G5" s="10"/>
      <x:c r="H5" s="2"/>
      <x:c r="I5" s="6"/>
    </x:row>
    <x:row r="6" ht="23" customHeight="1">
      <x:c r="A6" s="2"/>
      <x:c r="B6" s="2" t="str">
        <x:v>score_policy_id</x:v>
      </x:c>
      <x:c r="C6" s="14"/>
      <x:c r="D6" s="5"/>
      <x:c r="E6" s="5"/>
      <x:c r="F6" s="5"/>
      <x:c r="G6" s="5"/>
      <x:c r="H6" s="2"/>
      <x:c r="I6" s="6" t="str">
        <x:v>本批唯一政策 ID</x:v>
      </x:c>
    </x:row>
    <x:row r="7" ht="23" customHeight="1">
      <x:c r="A7" s="2"/>
      <x:c r="B7" s="2" t="str">
        <x:v>comparison_group_id</x:v>
      </x:c>
      <x:c r="C7" s="14"/>
      <x:c r="D7" s="5"/>
      <x:c r="E7" s="5"/>
      <x:c r="F7" s="5"/>
      <x:c r="G7" s="5"/>
      <x:c r="H7" s="2"/>
      <x:c r="I7" s="6" t="str">
        <x:v>同资金、行情、风险和成本组</x:v>
      </x:c>
    </x:row>
    <x:row r="8" ht="23" customHeight="1">
      <x:c r="A8" s="2"/>
      <x:c r="B8" s="2" t="str">
        <x:v>适用项目</x:v>
      </x:c>
      <x:c r="C8" s="14" t="str">
        <x:v>未选定</x:v>
      </x:c>
      <x:c r="D8" s="5"/>
      <x:c r="E8" s="5"/>
      <x:c r="F8" s="5"/>
      <x:c r="G8" s="5"/>
      <x:c r="H8" s="2"/>
      <x:c r="I8" s="6" t="str">
        <x:v>旧版门槛仅适用 GSM 旧版升级</x:v>
      </x:c>
    </x:row>
    <x:row r="9" ht="23" customHeight="1">
      <x:c r="A9" s="2"/>
      <x:c r="B9" s="2" t="str">
        <x:v>登记时间</x:v>
      </x:c>
      <x:c r="C9" s="16"/>
      <x:c r="D9" s="5"/>
      <x:c r="E9" s="5"/>
      <x:c r="F9" s="5"/>
      <x:c r="G9" s="5"/>
      <x:c r="H9" s="2"/>
      <x:c r="I9" s="6" t="str">
        <x:v>输入真实 Excel 日期，冻结在看候选结果前</x:v>
      </x:c>
    </x:row>
    <x:row r="10" ht="23" customHeight="1">
      <x:c r="A10" s="2"/>
      <x:c r="B10" s="2" t="str">
        <x:v>已事前冻结</x:v>
      </x:c>
      <x:c r="C10" s="14"/>
      <x:c r="D10" s="5"/>
      <x:c r="E10" s="5"/>
      <x:c r="F10" s="5"/>
      <x:c r="G10" s="5"/>
      <x:c r="H10" s="2"/>
      <x:c r="I10" s="6" t="str">
        <x:v>选择“是”只记录你的确认，不自动证明预登记</x:v>
      </x:c>
    </x:row>
    <x:row r="11" ht="23" customHeight="1">
      <x:c r="A11" s="2"/>
      <x:c r="B11" s="2" t="str">
        <x:v>初始资金 USD</x:v>
      </x:c>
      <x:c r="C11" s="14"/>
      <x:c r="D11" s="5"/>
      <x:c r="E11" s="5"/>
      <x:c r="F11" s="5"/>
      <x:c r="G11" s="5"/>
      <x:c r="H11" s="2"/>
      <x:c r="I11" s="6" t="str">
        <x:v>必须大于 0</x:v>
      </x:c>
    </x:row>
    <x:row r="12" ht="23" customHeight="1">
      <x:c r="A12" s="2"/>
      <x:c r="B12" s="2" t="str">
        <x:v>账户币种</x:v>
      </x:c>
      <x:c r="C12" s="14" t="str">
        <x:v>USD</x:v>
      </x:c>
      <x:c r="D12" s="5"/>
      <x:c r="E12" s="5"/>
      <x:c r="F12" s="5"/>
      <x:c r="G12" s="5"/>
      <x:c r="H12" s="2"/>
      <x:c r="I12" s="6" t="str">
        <x:v>本工具仅直接比较 USD 账户</x:v>
      </x:c>
    </x:row>
    <x:row r="13" ht="23" customHeight="1">
      <x:c r="A13" s="2"/>
      <x:c r="B13" s="2" t="str">
        <x:v>券商 / 服务器</x:v>
      </x:c>
      <x:c r="C13" s="14"/>
      <x:c r="D13" s="5"/>
      <x:c r="E13" s="5"/>
      <x:c r="F13" s="5"/>
      <x:c r="G13" s="5"/>
      <x:c r="H13" s="2"/>
      <x:c r="I13" s="6" t="str">
        <x:v>包括账户规则与数据来源</x:v>
      </x:c>
    </x:row>
    <x:row r="14" ht="23" customHeight="1">
      <x:c r="A14" s="2"/>
      <x:c r="B14" s="2" t="str">
        <x:v>实际品种名称</x:v>
      </x:c>
      <x:c r="C14" s="14"/>
      <x:c r="D14" s="5"/>
      <x:c r="E14" s="5"/>
      <x:c r="F14" s="5"/>
      <x:c r="G14" s="5"/>
      <x:c r="H14" s="2"/>
      <x:c r="I14" s="6" t="str">
        <x:v>读取实际名称，避免写死 XAUUSD</x:v>
      </x:c>
    </x:row>
    <x:row r="15" ht="23" customHeight="1">
      <x:c r="A15" s="2"/>
      <x:c r="B15" s="2" t="str">
        <x:v>标准手 / 合约说明</x:v>
      </x:c>
      <x:c r="C15" s="14"/>
      <x:c r="D15" s="5"/>
      <x:c r="E15" s="5"/>
      <x:c r="F15" s="5"/>
      <x:c r="G15" s="5"/>
      <x:c r="H15" s="2"/>
      <x:c r="I15" s="6" t="str">
        <x:v>合约规模、最小手数及步长</x:v>
      </x:c>
    </x:row>
    <x:row r="16" ht="23" customHeight="1">
      <x:c r="A16" s="2"/>
      <x:c r="B16" s="2" t="str">
        <x:v>周期</x:v>
      </x:c>
      <x:c r="C16" s="14"/>
      <x:c r="D16" s="5"/>
      <x:c r="E16" s="5"/>
      <x:c r="F16" s="5"/>
      <x:c r="G16" s="5"/>
      <x:c r="H16" s="2"/>
      <x:c r="I16" s="6" t="str">
        <x:v>例如 M5；不是默认周期</x:v>
      </x:c>
    </x:row>
    <x:row r="17" ht="23" customHeight="1">
      <x:c r="A17" s="2"/>
      <x:c r="B17" s="2" t="str">
        <x:v>测试起点</x:v>
      </x:c>
      <x:c r="C17" s="16"/>
      <x:c r="D17" s="5"/>
      <x:c r="E17" s="5"/>
      <x:c r="F17" s="5"/>
      <x:c r="G17" s="5"/>
      <x:c r="H17" s="2"/>
      <x:c r="I17" s="6" t="str">
        <x:v>真实 Excel 日期；与报告一致</x:v>
      </x:c>
    </x:row>
    <x:row r="18" ht="23" customHeight="1">
      <x:c r="A18" s="2"/>
      <x:c r="B18" s="2" t="str">
        <x:v>测试终点</x:v>
      </x:c>
      <x:c r="C18" s="16"/>
      <x:c r="D18" s="5"/>
      <x:c r="E18" s="5"/>
      <x:c r="F18" s="5"/>
      <x:c r="G18" s="5"/>
      <x:c r="H18" s="2"/>
      <x:c r="I18" s="6" t="str">
        <x:v>真实 Excel 日期；与报告一致</x:v>
      </x:c>
    </x:row>
    <x:row r="19" ht="23" customHeight="1">
      <x:c r="A19" s="2"/>
      <x:c r="B19" s="2" t="str">
        <x:v>基础风险政策 / 上限</x:v>
      </x:c>
      <x:c r="C19" s="14"/>
      <x:c r="D19" s="5"/>
      <x:c r="E19" s="5"/>
      <x:c r="F19" s="5"/>
      <x:c r="G19" s="5"/>
      <x:c r="H19" s="2"/>
      <x:c r="I19" s="6" t="str">
        <x:v>区分单策略与账户组合风险</x:v>
      </x:c>
    </x:row>
    <x:row r="20" ht="23" customHeight="1">
      <x:c r="A20" s="2"/>
      <x:c r="B20" s="2" t="str">
        <x:v>手数模式</x:v>
      </x:c>
      <x:c r="C20" s="14"/>
      <x:c r="D20" s="5"/>
      <x:c r="E20" s="5"/>
      <x:c r="F20" s="5"/>
      <x:c r="G20" s="5"/>
      <x:c r="H20" s="2"/>
      <x:c r="I20" s="6" t="str">
        <x:v>固定 / 风险预算 / 动态规则</x:v>
      </x:c>
    </x:row>
    <x:row r="21" ht="23" customHeight="1">
      <x:c r="A21" s="2"/>
      <x:c r="B21" s="2" t="str">
        <x:v>成本模型与配对规则</x:v>
      </x:c>
      <x:c r="C21" s="14"/>
      <x:c r="D21" s="5"/>
      <x:c r="E21" s="5"/>
      <x:c r="F21" s="5"/>
      <x:c r="G21" s="5"/>
      <x:c r="H21" s="2"/>
      <x:c r="I21" s="6" t="str">
        <x:v>点差、滑点、佣金、隔夜费和 RT_lots 配对</x:v>
      </x:c>
    </x:row>
    <x:row r="22" ht="23" customHeight="1">
      <x:c r="A22" s="2"/>
      <x:c r="B22" s="2" t="str">
        <x:v>Tick / 延迟 / 执行情景</x:v>
      </x:c>
      <x:c r="C22" s="14"/>
      <x:c r="D22" s="5"/>
      <x:c r="E22" s="5"/>
      <x:c r="F22" s="5"/>
      <x:c r="G22" s="5"/>
      <x:c r="H22" s="2"/>
      <x:c r="I22" s="6" t="str">
        <x:v>压力场景与主区间分组保存</x:v>
      </x:c>
    </x:row>
    <x:row r="23" ht="23" customHeight="1">
      <x:c r="A23" s="2"/>
      <x:c r="B23" s="2" t="str">
        <x:v>完整交易定义</x:v>
      </x:c>
      <x:c r="C23" s="14"/>
      <x:c r="D23" s="5"/>
      <x:c r="E23" s="5"/>
      <x:c r="F23" s="5"/>
      <x:c r="G23" s="5"/>
      <x:c r="H23" s="2"/>
      <x:c r="I23" s="6" t="str">
        <x:v>分批 Deals 不重复计作完整交易</x:v>
      </x:c>
    </x:row>
    <x:row r="24" ht="23" customHeight="1">
      <x:c r="A24" s="2"/>
      <x:c r="B24" s="2"/>
      <x:c r="C24" s="2"/>
      <x:c r="D24" s="5"/>
      <x:c r="E24" s="5"/>
      <x:c r="F24" s="5"/>
      <x:c r="G24" s="5"/>
      <x:c r="H24" s="2"/>
      <x:c r="I24" s="6"/>
    </x:row>
    <x:row r="25" ht="27" customHeight="1">
      <x:c r="A25" s="2"/>
      <x:c r="B25" s="9" t="str">
        <x:v>正式评分锚点（初始留空）</x:v>
      </x:c>
      <x:c r="C25" s="9"/>
      <x:c r="D25" s="10"/>
      <x:c r="E25" s="10"/>
      <x:c r="F25" s="10"/>
      <x:c r="G25" s="10"/>
      <x:c r="H25" s="2"/>
      <x:c r="I25" s="6"/>
    </x:row>
    <x:row r="26" ht="23" customHeight="1">
      <x:c r="A26" s="2"/>
      <x:c r="B26" s="2" t="str">
        <x:v>P_target</x:v>
      </x:c>
      <x:c r="C26" s="15"/>
      <x:c r="D26" s="5"/>
      <x:c r="E26" s="5"/>
      <x:c r="F26" s="5"/>
      <x:c r="G26" s="5"/>
      <x:c r="H26" s="2"/>
      <x:c r="I26" s="6" t="str">
        <x:v>满分净利润 USD；&gt;0</x:v>
      </x:c>
    </x:row>
    <x:row r="27" ht="23" customHeight="1">
      <x:c r="A27" s="2"/>
      <x:c r="B27" s="2" t="str">
        <x:v>D_good</x:v>
      </x:c>
      <x:c r="C27" s="15"/>
      <x:c r="D27" s="5"/>
      <x:c r="E27" s="5"/>
      <x:c r="F27" s="5"/>
      <x:c r="G27" s="5"/>
      <x:c r="H27" s="2"/>
      <x:c r="I27" s="6" t="str">
        <x:v>满分回撤百分数；输入 5 表示 5%</x:v>
      </x:c>
    </x:row>
    <x:row r="28" ht="23" customHeight="1">
      <x:c r="A28" s="2"/>
      <x:c r="B28" s="2" t="str">
        <x:v>D_bad</x:v>
      </x:c>
      <x:c r="C28" s="15"/>
      <x:c r="D28" s="5"/>
      <x:c r="E28" s="5"/>
      <x:c r="F28" s="5"/>
      <x:c r="G28" s="5"/>
      <x:c r="H28" s="2"/>
      <x:c r="I28" s="6" t="str">
        <x:v>零分回撤百分数；必须 &gt;D_good</x:v>
      </x:c>
    </x:row>
    <x:row r="29" ht="23" customHeight="1">
      <x:c r="A29" s="2"/>
      <x:c r="B29" s="2" t="str">
        <x:v>F_target</x:v>
      </x:c>
      <x:c r="C29" s="15"/>
      <x:c r="D29" s="5"/>
      <x:c r="E29" s="5"/>
      <x:c r="F29" s="5"/>
      <x:c r="G29" s="5"/>
      <x:c r="H29" s="2"/>
      <x:c r="I29" s="6" t="str">
        <x:v>满分原生 PF；&gt;1</x:v>
      </x:c>
    </x:row>
    <x:row r="30" ht="23" customHeight="1">
      <x:c r="A30" s="2"/>
      <x:c r="B30" s="2" t="str">
        <x:v>N_target</x:v>
      </x:c>
      <x:c r="C30" s="15"/>
      <x:c r="D30" s="5"/>
      <x:c r="E30" s="5"/>
      <x:c r="F30" s="5"/>
      <x:c r="G30" s="5"/>
      <x:c r="H30" s="2"/>
      <x:c r="I30" s="6" t="str">
        <x:v>正整数，旧版主区间至少 101</x:v>
      </x:c>
    </x:row>
    <x:row r="31" ht="23" customHeight="1">
      <x:c r="A31" s="2"/>
      <x:c r="B31" s="2" t="str">
        <x:v>C_good</x:v>
      </x:c>
      <x:c r="C31" s="15"/>
      <x:c r="D31" s="5"/>
      <x:c r="E31" s="5"/>
      <x:c r="F31" s="5"/>
      <x:c r="G31" s="5"/>
      <x:c r="H31" s="2"/>
      <x:c r="I31" s="6" t="str">
        <x:v>满分成本 USD / 往返标准手；≥0</x:v>
      </x:c>
    </x:row>
    <x:row r="32" ht="23" customHeight="1">
      <x:c r="A32" s="2"/>
      <x:c r="B32" s="2" t="str">
        <x:v>C_bad</x:v>
      </x:c>
      <x:c r="C32" s="15"/>
      <x:c r="D32" s="5"/>
      <x:c r="E32" s="5"/>
      <x:c r="F32" s="5"/>
      <x:c r="G32" s="5"/>
      <x:c r="H32" s="2"/>
      <x:c r="I32" s="6" t="str">
        <x:v>零分成本；必须 &gt;C_good</x:v>
      </x:c>
    </x:row>
    <x:row r="33" ht="23" customHeight="1">
      <x:c r="A33" s="2"/>
      <x:c r="B33" s="2"/>
      <x:c r="C33" s="2"/>
      <x:c r="D33" s="5"/>
      <x:c r="E33" s="5"/>
      <x:c r="F33" s="5"/>
      <x:c r="G33" s="5"/>
      <x:c r="H33" s="2"/>
      <x:c r="I33" s="6"/>
    </x:row>
    <x:row r="34" ht="23" customHeight="1">
      <x:c r="A34" s="2"/>
      <x:c r="B34" s="2"/>
      <x:c r="C34" s="2"/>
      <x:c r="D34" s="5"/>
      <x:c r="E34" s="5"/>
      <x:c r="F34" s="5"/>
      <x:c r="G34" s="5"/>
      <x:c r="H34" s="2"/>
      <x:c r="I34" s="6"/>
    </x:row>
    <x:row r="35" ht="27" customHeight="1">
      <x:c r="A35" s="2"/>
      <x:c r="B35" s="9" t="str">
        <x:v>固定权重</x:v>
      </x:c>
      <x:c r="C35" s="9"/>
      <x:c r="D35" s="10"/>
      <x:c r="E35" s="10"/>
      <x:c r="F35" s="10"/>
      <x:c r="G35" s="10"/>
      <x:c r="H35" s="2"/>
      <x:c r="I35" s="6"/>
    </x:row>
    <x:row r="36" ht="23" customHeight="1">
      <x:c r="A36" s="2"/>
      <x:c r="B36" s="2" t="str">
        <x:v>净利润权重</x:v>
      </x:c>
      <x:c r="C36" s="17" t="n">
        <x:v>0.35</x:v>
      </x:c>
      <x:c r="D36" s="5"/>
      <x:c r="E36" s="5"/>
      <x:c r="F36" s="5"/>
      <x:c r="G36" s="5"/>
      <x:c r="H36" s="2"/>
      <x:c r="I36" s="6" t="str">
        <x:v>固定权重</x:v>
      </x:c>
    </x:row>
    <x:row r="37" ht="23" customHeight="1">
      <x:c r="A37" s="2"/>
      <x:c r="B37" s="2" t="str">
        <x:v>净值回撤权重</x:v>
      </x:c>
      <x:c r="C37" s="17" t="n">
        <x:v>0.25</x:v>
      </x:c>
      <x:c r="D37" s="5"/>
      <x:c r="E37" s="5"/>
      <x:c r="F37" s="5"/>
      <x:c r="G37" s="5"/>
      <x:c r="H37" s="2"/>
      <x:c r="I37" s="6" t="str">
        <x:v>固定权重</x:v>
      </x:c>
    </x:row>
    <x:row r="38" ht="23" customHeight="1">
      <x:c r="A38" s="2"/>
      <x:c r="B38" s="2" t="str">
        <x:v>PF 权重</x:v>
      </x:c>
      <x:c r="C38" s="17" t="n">
        <x:v>0.2</x:v>
      </x:c>
      <x:c r="D38" s="5"/>
      <x:c r="E38" s="5"/>
      <x:c r="F38" s="5"/>
      <x:c r="G38" s="5"/>
      <x:c r="H38" s="2"/>
      <x:c r="I38" s="6" t="str">
        <x:v>固定权重</x:v>
      </x:c>
    </x:row>
    <x:row r="39" ht="23" customHeight="1">
      <x:c r="A39" s="2"/>
      <x:c r="B39" s="2" t="str">
        <x:v>完整交易数权重</x:v>
      </x:c>
      <x:c r="C39" s="17" t="n">
        <x:v>0.1</x:v>
      </x:c>
      <x:c r="D39" s="5"/>
      <x:c r="E39" s="5"/>
      <x:c r="F39" s="5"/>
      <x:c r="G39" s="5"/>
      <x:c r="H39" s="2"/>
      <x:c r="I39" s="6" t="str">
        <x:v>固定权重</x:v>
      </x:c>
    </x:row>
    <x:row r="40" ht="23" customHeight="1">
      <x:c r="A40" s="2"/>
      <x:c r="B40" s="2" t="str">
        <x:v>成本权重</x:v>
      </x:c>
      <x:c r="C40" s="17" t="n">
        <x:v>0.1</x:v>
      </x:c>
      <x:c r="D40" s="5"/>
      <x:c r="E40" s="5"/>
      <x:c r="F40" s="5"/>
      <x:c r="G40" s="5"/>
      <x:c r="H40" s="2"/>
      <x:c r="I40" s="6" t="str">
        <x:v>固定权重</x:v>
      </x:c>
    </x:row>
    <x:row r="41" ht="23" customHeight="1">
      <x:c r="A41" s="2"/>
      <x:c r="B41" s="2"/>
      <x:c r="C41" s="2"/>
      <x:c r="D41" s="5"/>
      <x:c r="E41" s="5"/>
      <x:c r="F41" s="5"/>
      <x:c r="G41" s="5"/>
      <x:c r="H41" s="2"/>
      <x:c r="I41" s="6"/>
    </x:row>
    <x:row r="42" ht="23" customHeight="1">
      <x:c r="A42" s="2"/>
      <x:c r="B42" s="2"/>
      <x:c r="C42" s="2"/>
      <x:c r="D42" s="5"/>
      <x:c r="E42" s="5"/>
      <x:c r="F42" s="5"/>
      <x:c r="G42" s="5"/>
      <x:c r="H42" s="2"/>
      <x:c r="I42" s="6"/>
    </x:row>
    <x:row r="43" ht="27" customHeight="1">
      <x:c r="A43" s="2"/>
      <x:c r="B43" s="9" t="str">
        <x:v>项目门槛与登记依据</x:v>
      </x:c>
      <x:c r="C43" s="9"/>
      <x:c r="D43" s="10"/>
      <x:c r="E43" s="10"/>
      <x:c r="F43" s="10"/>
      <x:c r="G43" s="10"/>
      <x:c r="H43" s="2"/>
      <x:c r="I43" s="6"/>
    </x:row>
    <x:row r="44" ht="23" customHeight="1">
      <x:c r="A44" s="2"/>
      <x:c r="B44" s="2" t="str">
        <x:v>旧版 DD 目标（%）</x:v>
      </x:c>
      <x:c r="C44" s="18" t="n">
        <x:v>15</x:v>
      </x:c>
      <x:c r="D44" s="5"/>
      <x:c r="E44" s="5"/>
      <x:c r="F44" s="5"/>
      <x:c r="G44" s="5"/>
      <x:c r="H44" s="2"/>
      <x:c r="I44" s="6" t="str">
        <x:v>≤15% 为目标；不是满分锚点</x:v>
      </x:c>
    </x:row>
    <x:row r="45" ht="23" customHeight="1">
      <x:c r="A45" s="2"/>
      <x:c r="B45" s="2" t="str">
        <x:v>旧版 DD 拒绝线（%）</x:v>
      </x:c>
      <x:c r="C45" s="18" t="n">
        <x:v>30</x:v>
      </x:c>
      <x:c r="D45" s="5"/>
      <x:c r="E45" s="5"/>
      <x:c r="F45" s="5"/>
      <x:c r="G45" s="5"/>
      <x:c r="H45" s="2"/>
      <x:c r="I45" s="6" t="str">
        <x:v>&gt;30% 拒绝；15%～30% 需人工复核</x:v>
      </x:c>
    </x:row>
    <x:row r="46" ht="23" customHeight="1">
      <x:c r="A46" s="2"/>
      <x:c r="B46" s="2" t="str">
        <x:v>旧版完整交易数下限</x:v>
      </x:c>
      <x:c r="C46" s="18" t="n">
        <x:v>101</x:v>
      </x:c>
      <x:c r="D46" s="5"/>
      <x:c r="E46" s="5"/>
      <x:c r="F46" s="5"/>
      <x:c r="G46" s="5"/>
      <x:c r="H46" s="2"/>
      <x:c r="I46" s="6" t="str">
        <x:v>至少101；200～500为参考，不是交易上限</x:v>
      </x:c>
    </x:row>
    <x:row r="47" ht="23" customHeight="1">
      <x:c r="A47" s="2"/>
      <x:c r="B47" s="2" t="str">
        <x:v>旧版 Recovery 严格下限</x:v>
      </x:c>
      <x:c r="C47" s="18" t="n">
        <x:v>3</x:v>
      </x:c>
      <x:c r="D47" s="5"/>
      <x:c r="E47" s="5"/>
      <x:c r="F47" s="5"/>
      <x:c r="G47" s="5"/>
      <x:c r="H47" s="2"/>
      <x:c r="I47" s="6" t="str">
        <x:v>原生 Recovery 必须 &gt;3，不含等号</x:v>
      </x:c>
    </x:row>
    <x:row r="48" ht="23" customHeight="1">
      <x:c r="A48" s="2"/>
      <x:c r="B48" s="2" t="str">
        <x:v>有效性与持续运作标准</x:v>
      </x:c>
      <x:c r="C48" s="14"/>
      <x:c r="D48" s="5"/>
      <x:c r="E48" s="5"/>
      <x:c r="F48" s="5"/>
      <x:c r="G48" s="5"/>
      <x:c r="H48" s="2"/>
      <x:c r="I48" s="6" t="str">
        <x:v>预登记异常停机、暂停恢复、提款等检查标准</x:v>
      </x:c>
    </x:row>
    <x:row r="49" ht="23" customHeight="1">
      <x:c r="A49" s="2"/>
      <x:c r="B49" s="2" t="str">
        <x:v>锚点选择依据</x:v>
      </x:c>
      <x:c r="C49" s="14"/>
      <x:c r="D49" s="5"/>
      <x:c r="E49" s="5"/>
      <x:c r="F49" s="5"/>
      <x:c r="G49" s="5"/>
      <x:c r="H49" s="2"/>
      <x:c r="I49" s="6" t="str">
        <x:v>本金、时长、同档基准、§11.1与成本依据</x:v>
      </x:c>
    </x:row>
    <x:row r="50" ht="23" customHeight="1">
      <x:c r="A50" s="2"/>
      <x:c r="B50" s="2"/>
      <x:c r="C50" s="2"/>
      <x:c r="D50" s="5"/>
      <x:c r="E50" s="5"/>
      <x:c r="F50" s="5"/>
      <x:c r="G50" s="5"/>
      <x:c r="H50" s="2"/>
      <x:c r="I50" s="6"/>
    </x:row>
    <x:row r="51" ht="23" customHeight="1">
      <x:c r="A51" s="2"/>
      <x:c r="B51" s="2"/>
      <x:c r="C51" s="2"/>
      <x:c r="D51" s="5"/>
      <x:c r="E51" s="5"/>
      <x:c r="F51" s="5"/>
      <x:c r="G51" s="5"/>
      <x:c r="H51" s="2"/>
      <x:c r="I51" s="6"/>
    </x:row>
    <x:row r="52" ht="30" customHeight="1">
      <x:c r="A52" s="2"/>
      <x:c r="B52" s="2" t="str">
        <x:v>评分政策状态</x:v>
      </x:c>
      <x:c r="C52" s="33" t="str">
        <x:f>IF(COUNT(C26:C32)&lt;&gt;7,"SCORE_TARGETS_UNSET",IF(OR(C26&lt;=0,C27&lt;0,C28&lt;=C27,C29&lt;=1,C30&lt;=0,C30&lt;&gt;INT(C30),C31&lt;0,C32&lt;=C31,AND(C8="GSM旧版升级",C30&lt;C46)),"INVALID_TARGETS",IF(OR(COUNTBLANK(C6:C23)&gt;0,C48="",C49="",AND(C8&lt;&gt;"GSM旧版升级",C8&lt;&gt;"其他项目"),C10&lt;&gt;"是",NOT(ISNUMBER(C9)),NOT(ISNUMBER(C11)),C11&lt;=0,C12&lt;&gt;"USD",NOT(ISNUMBER(C17)),NOT(ISNUMBER(C18)),C18&lt;C17,C36&lt;&gt;0.35,C37&lt;&gt;0.25,C38&lt;&gt;0.2,C39&lt;&gt;0.1,C40&lt;&gt;0.1),"POLICY_INCOMPLETE","READY")))</x:f>
        <x:v>SCORE_TARGETS_UNSET</x:v>
      </x:c>
      <x:c r="D52" s="34"/>
      <x:c r="E52" s="34"/>
      <x:c r="F52" s="34"/>
      <x:c r="G52" s="34"/>
      <x:c r="H52" s="2"/>
      <x:c r="I52" s="6" t="str">
        <x:v>缺目标时保留原始数据并继续诊断</x:v>
      </x:c>
    </x:row>
    <x:row r="53" ht="23" customHeight="1">
      <x:c r="A53" s="2"/>
      <x:c r="B53" s="2"/>
      <x:c r="C53" s="2"/>
      <x:c r="D53" s="5"/>
      <x:c r="E53" s="5"/>
      <x:c r="F53" s="5"/>
      <x:c r="G53" s="5"/>
      <x:c r="H53" s="2"/>
      <x:c r="I53" s="6"/>
    </x:row>
    <x:row r="54" ht="23" customHeight="1">
      <x:c r="A54" s="2"/>
      <x:c r="B54" s="2"/>
      <x:c r="C54" s="2"/>
      <x:c r="D54" s="5"/>
      <x:c r="E54" s="5"/>
      <x:c r="F54" s="5"/>
      <x:c r="G54" s="5"/>
      <x:c r="H54" s="2"/>
      <x:c r="I54" s="6"/>
    </x:row>
    <x:row r="55" ht="23" customHeight="1">
      <x:c r="A55" s="2"/>
      <x:c r="B55" s="2" t="str">
        <x:v>填写步骤</x:v>
      </x:c>
      <x:c r="C55" s="2"/>
      <x:c r="D55" s="5"/>
      <x:c r="E55" s="5"/>
      <x:c r="F55" s="5"/>
      <x:c r="G55" s="5"/>
      <x:c r="H55" s="2"/>
      <x:c r="I55" s="6" t="str">
        <x:v>综合分只用于同条件诊断。80%表示80/100，不是胜率或自动通过线。</x:v>
      </x:c>
    </x:row>
    <x:row r="56" ht="23" customHeight="1">
      <x:c r="A56" s="2"/>
      <x:c r="B56" s="2" t="str">
        <x:v>1. 登记同条件比较组与正式锚点。</x:v>
      </x:c>
      <x:c r="C56" s="2"/>
      <x:c r="D56" s="5"/>
      <x:c r="E56" s="5"/>
      <x:c r="F56" s="5"/>
      <x:c r="G56" s="5"/>
      <x:c r="H56" s="2"/>
      <x:c r="I56" s="6" t="str">
        <x:v>百分数原始字段统一输入10表示10%；综合评分和胜率由公式显示百分比。</x:v>
      </x:c>
    </x:row>
    <x:row r="57" ht="23" customHeight="1">
      <x:c r="A57" s="2"/>
      <x:c r="B57" s="2" t="str">
        <x:v>2. 填综合评估中的报告原值，确认口径。</x:v>
      </x:c>
      <x:c r="C57" s="2"/>
      <x:c r="D57" s="5"/>
      <x:c r="E57" s="5"/>
      <x:c r="F57" s="5"/>
      <x:c r="G57" s="5"/>
      <x:c r="H57" s="2"/>
      <x:c r="I57" s="6" t="str">
        <x:v>旧版数值门槛保留在 C44:C47；其他项目不会自动套用旧版验收。</x:v>
      </x:c>
    </x:row>
    <x:row r="58" ht="23" customHeight="1">
      <x:c r="A58" s="2"/>
      <x:c r="B58" s="2" t="str">
        <x:v>3. 填策略与验证，记录失败原因和下一轮。</x:v>
      </x:c>
      <x:c r="C58" s="2"/>
      <x:c r="D58" s="5"/>
      <x:c r="E58" s="5"/>
      <x:c r="F58" s="5"/>
      <x:c r="G58" s="5"/>
      <x:c r="H58" s="2"/>
      <x:c r="I58" s="6"/>
    </x:row>
    <x:row r="59" ht="23" customHeight="1">
      <x:c r="A59" s="2"/>
      <x:c r="B59" s="2" t="str">
        <x:v>4. 冻结后另做独立验证；不同区间另存一份。</x:v>
      </x:c>
      <x:c r="C59" s="2"/>
      <x:c r="D59" s="5"/>
      <x:c r="E59" s="5"/>
      <x:c r="F59" s="5"/>
      <x:c r="G59" s="5"/>
      <x:c r="H59" s="2"/>
      <x:c r="I59" s="6"/>
    </x:row>
    <x:row r="60" ht="23" customHeight="1">
      <x:c r="A60" s="2"/>
      <x:c r="B60" s="2"/>
      <x:c r="C60" s="2"/>
      <x:c r="D60" s="5"/>
      <x:c r="E60" s="5"/>
      <x:c r="F60" s="5"/>
      <x:c r="G60" s="5"/>
      <x:c r="H60" s="2"/>
      <x:c r="I60" s="6"/>
    </x:row>
    <x:row r="61" ht="23" customHeight="1">
      <x:c r="A61" s="2"/>
      <x:c r="B61" s="2" t="str">
        <x:v>来源与版本</x:v>
      </x:c>
      <x:c r="C61" s="2"/>
      <x:c r="D61" s="5"/>
      <x:c r="E61" s="5"/>
      <x:c r="F61" s="5"/>
      <x:c r="G61" s="5"/>
      <x:c r="H61" s="2"/>
      <x:c r="I61" s="6"/>
    </x:row>
    <x:row r="62" ht="23" customHeight="1">
      <x:c r="A62" s="2"/>
      <x:c r="B62" s="2" t="str">
        <x:v>当前计划 §11.1 / §11.9 / §13.10</x:v>
      </x:c>
      <x:c r="C62" s="2"/>
      <x:c r="D62" s="5"/>
      <x:c r="E62" s="5"/>
      <x:c r="F62" s="5"/>
      <x:c r="G62" s="5"/>
      <x:c r="H62" s="2"/>
      <x:c r="I62" s="6" t="str">
        <x:v>https://github.com/chanteck123-ux/TX-AI---EA-GOLD-Trading/blob/7f322c4329079b8c99bac60383cc39beedc63d29/FINAL_CHAMPION_ITERATION_SYSTEM_CN.md</x:v>
      </x:c>
    </x:row>
    <x:row r="63" ht="23" customHeight="1">
      <x:c r="A63" s="2"/>
      <x:c r="B63" s="2" t="str">
        <x:v>计划 Git blob</x:v>
      </x:c>
      <x:c r="C63" s="2"/>
      <x:c r="D63" s="5"/>
      <x:c r="E63" s="5"/>
      <x:c r="F63" s="5"/>
      <x:c r="G63" s="5"/>
      <x:c r="H63" s="2"/>
      <x:c r="I63" s="6" t="str">
        <x:v>997f0cc759b2b56f65359d80bd78f65d6cab183d</x:v>
      </x:c>
    </x:row>
    <x:row r="64" ht="23" customHeight="1">
      <x:c r="A64" s="2"/>
      <x:c r="B64" s="2" t="str">
        <x:v>MT5 官方统计字段</x:v>
      </x:c>
      <x:c r="C64" s="2"/>
      <x:c r="D64" s="5"/>
      <x:c r="E64" s="5"/>
      <x:c r="F64" s="5"/>
      <x:c r="G64" s="5"/>
      <x:c r="H64" s="2"/>
      <x:c r="I64" s="6" t="str">
        <x:v>https://www.mql5.com/en/docs/constants/environment_state/statistics</x:v>
      </x:c>
    </x:row>
    <x:row r="65" ht="23" customHeight="1">
      <x:c r="A65" s="2"/>
      <x:c r="B65" s="2" t="str">
        <x:v>MT5 测试报告说明</x:v>
      </x:c>
      <x:c r="C65" s="2"/>
      <x:c r="D65" s="5"/>
      <x:c r="E65" s="5"/>
      <x:c r="F65" s="5"/>
      <x:c r="G65" s="5"/>
      <x:c r="H65" s="2"/>
      <x:c r="I65" s="6" t="str">
        <x:v>https://www.metatrader5.com/en/terminal/help/algotrading/testing_report</x:v>
      </x:c>
    </x:row>
    <x:row r="66" ht="23" customHeight="1">
      <x:c r="A66" s="2"/>
      <x:c r="B66" s="2" t="str">
        <x:v>指标库</x:v>
      </x:c>
      <x:c r="C66" s="2"/>
      <x:c r="D66" s="5"/>
      <x:c r="E66" s="5"/>
      <x:c r="F66" s="5"/>
      <x:c r="G66" s="5"/>
      <x:c r="H66" s="2"/>
      <x:c r="I66" s="6" t="str">
        <x:v>https://github.com/chanteck123-ux/gsm-mt5-indicators</x:v>
      </x:c>
    </x:row>
  </x:sheetData>
  <x:conditionalFormatting sqref="C52:C52">
    <x:cfRule type="notContainsText" dxfId="6" priority="1" text="READY"/>
  </x:conditionalFormatting>
  <x:dataValidations count="2">
    <x:dataValidation type="list" sqref="C8">
      <x:formula1>"未选定,GSM旧版升级,其他项目"</x:formula1>
    </x:dataValidation>
    <x:dataValidation type="list" sqref="C10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2" hidden="0" customWidth="1"/>
    <x:col min="3" max="3" width="14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3" hidden="0" customWidth="1"/>
    <x:col min="9" max="9" width="7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6"/>
    </x:row>
    <x:row r="2" ht="32" customHeight="1">
      <x:c r="A2" s="2"/>
      <x:c r="B2" s="3" t="str">
        <x:v>策略设计、验证与迭代记录</x:v>
      </x:c>
      <x:c r="C2" s="3"/>
      <x:c r="D2" s="3"/>
      <x:c r="E2" s="3"/>
      <x:c r="F2" s="3"/>
      <x:c r="G2" s="3"/>
      <x:c r="H2" s="2"/>
      <x:c r="I2" s="6"/>
    </x:row>
    <x:row r="3" ht="23" customHeight="1">
      <x:c r="A3" s="2"/>
      <x:c r="B3" s="4" t="str">
        <x:v>按相同列关联候选与运行</x:v>
      </x:c>
      <x:c r="C3" s="4"/>
      <x:c r="D3" s="4"/>
      <x:c r="E3" s="4"/>
      <x:c r="F3" s="4"/>
      <x:c r="G3" s="4"/>
      <x:c r="H3" s="2"/>
      <x:c r="I3" s="6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6"/>
    </x:row>
    <x:row r="5" ht="32" customHeight="1">
      <x:c r="A5" s="2"/>
      <x:c r="B5" s="11" t="str">
        <x:v>设计 / 验证项目</x:v>
      </x:c>
      <x:c r="C5" s="11" t="str">
        <x:v>填写方式</x:v>
      </x:c>
      <x:c r="D5" s="11" t="str">
        <x:v>当前最佳</x:v>
      </x:c>
      <x:c r="E5" s="11" t="str">
        <x:v>候选 A</x:v>
      </x:c>
      <x:c r="F5" s="11" t="str">
        <x:v>候选 B</x:v>
      </x:c>
      <x:c r="G5" s="11" t="str">
        <x:v>候选 C</x:v>
      </x:c>
      <x:c r="H5" s="2"/>
      <x:c r="I5" s="6"/>
    </x:row>
    <x:row r="6" ht="23" customHeight="1">
      <x:c r="A6" s="2"/>
      <x:c r="B6" s="2" t="str">
        <x:v>candidate_id</x:v>
      </x:c>
      <x:c r="C6" s="2" t="str">
        <x:v>自动关联</x:v>
      </x:c>
      <x:c r="D6" s="5" t="str">
        <x:f>IF('综合评估'!D6="","",'综合评估'!D6)</x:f>
      </x:c>
      <x:c r="E6" s="5" t="str">
        <x:f>IF('综合评估'!E6="","",'综合评估'!E6)</x:f>
      </x:c>
      <x:c r="F6" s="5" t="str">
        <x:f>IF('综合评估'!F6="","",'综合评估'!F6)</x:f>
      </x:c>
      <x:c r="G6" s="5" t="str">
        <x:f>IF('综合评估'!G6="","",'综合评估'!G6)</x:f>
      </x:c>
      <x:c r="H6" s="2"/>
      <x:c r="I6" s="6"/>
    </x:row>
    <x:row r="7" ht="23" customHeight="1">
      <x:c r="A7" s="2"/>
      <x:c r="B7" s="2" t="str">
        <x:v>策略归属</x:v>
      </x:c>
      <x:c r="C7" s="2" t="str">
        <x:v>选择</x:v>
      </x:c>
      <x:c r="D7" s="14"/>
      <x:c r="E7" s="14"/>
      <x:c r="F7" s="14"/>
      <x:c r="G7" s="14"/>
      <x:c r="H7" s="2"/>
      <x:c r="I7" s="6" t="str">
        <x:v>当前用户自己的 Scalping SOP 保留规则；非用户策略按已授权研究优化。</x:v>
      </x:c>
    </x:row>
    <x:row r="8" ht="23" customHeight="1">
      <x:c r="A8" s="2"/>
      <x:c r="B8" s="2" t="str">
        <x:v>策略 / 引擎 / 场景</x:v>
      </x:c>
      <x:c r="C8" s="2" t="str">
        <x:v>填写</x:v>
      </x:c>
      <x:c r="D8" s="14"/>
      <x:c r="E8" s="14"/>
      <x:c r="F8" s="14"/>
      <x:c r="G8" s="14"/>
      <x:c r="H8" s="2"/>
      <x:c r="I8" s="6"/>
    </x:row>
    <x:row r="9" ht="42" customHeight="1">
      <x:c r="A9" s="2"/>
      <x:c r="B9" s="2" t="str">
        <x:v>用途与适用行情</x:v>
      </x:c>
      <x:c r="C9" s="2" t="str">
        <x:v>填写</x:v>
      </x:c>
      <x:c r="D9" s="27"/>
      <x:c r="E9" s="27"/>
      <x:c r="F9" s="27"/>
      <x:c r="G9" s="27"/>
      <x:c r="H9" s="2"/>
      <x:c r="I9" s="6"/>
    </x:row>
    <x:row r="10" ht="42" customHeight="1">
      <x:c r="A10" s="2"/>
      <x:c r="B10" s="2" t="str">
        <x:v>位置与结构资格</x:v>
      </x:c>
      <x:c r="C10" s="2" t="str">
        <x:v>填写</x:v>
      </x:c>
      <x:c r="D10" s="27"/>
      <x:c r="E10" s="27"/>
      <x:c r="F10" s="27"/>
      <x:c r="G10" s="27"/>
      <x:c r="H10" s="2"/>
      <x:c r="I10" s="6"/>
    </x:row>
    <x:row r="11" ht="42" customHeight="1">
      <x:c r="A11" s="2"/>
      <x:c r="B11" s="2" t="str">
        <x:v>实际触发事件</x:v>
      </x:c>
      <x:c r="C11" s="2" t="str">
        <x:v>填写</x:v>
      </x:c>
      <x:c r="D11" s="27"/>
      <x:c r="E11" s="27"/>
      <x:c r="F11" s="27"/>
      <x:c r="G11" s="27"/>
      <x:c r="H11" s="2"/>
      <x:c r="I11" s="6"/>
    </x:row>
    <x:row r="12" ht="42" customHeight="1">
      <x:c r="A12" s="2"/>
      <x:c r="B12" s="2" t="str">
        <x:v>确认时点与失效条件</x:v>
      </x:c>
      <x:c r="C12" s="2" t="str">
        <x:v>填写</x:v>
      </x:c>
      <x:c r="D12" s="27"/>
      <x:c r="E12" s="27"/>
      <x:c r="F12" s="27"/>
      <x:c r="G12" s="27"/>
      <x:c r="H12" s="2"/>
      <x:c r="I12" s="6"/>
    </x:row>
    <x:row r="13" ht="42" customHeight="1">
      <x:c r="A13" s="2"/>
      <x:c r="B13" s="2" t="str">
        <x:v>指标参数与输入周期</x:v>
      </x:c>
      <x:c r="C13" s="2" t="str">
        <x:v>填写</x:v>
      </x:c>
      <x:c r="D13" s="27"/>
      <x:c r="E13" s="27"/>
      <x:c r="F13" s="27"/>
      <x:c r="G13" s="27"/>
      <x:c r="H13" s="2"/>
      <x:c r="I13" s="6" t="str">
        <x:v>用途、位置、触发分别设计；优先复用指标库，不默认全部 AND。</x:v>
      </x:c>
    </x:row>
    <x:row r="14" ht="42" customHeight="1">
      <x:c r="A14" s="2"/>
      <x:c r="B14" s="2" t="str">
        <x:v>AND / OR / 执行顺序</x:v>
      </x:c>
      <x:c r="C14" s="2" t="str">
        <x:v>填写</x:v>
      </x:c>
      <x:c r="D14" s="27"/>
      <x:c r="E14" s="27"/>
      <x:c r="F14" s="27"/>
      <x:c r="G14" s="27"/>
      <x:c r="H14" s="2"/>
      <x:c r="I14" s="6"/>
    </x:row>
    <x:row r="15" ht="42" customHeight="1">
      <x:c r="A15" s="2"/>
      <x:c r="B15" s="2" t="str">
        <x:v>冲突与数据缺失处理</x:v>
      </x:c>
      <x:c r="C15" s="2" t="str">
        <x:v>填写</x:v>
      </x:c>
      <x:c r="D15" s="27"/>
      <x:c r="E15" s="27"/>
      <x:c r="F15" s="27"/>
      <x:c r="G15" s="27"/>
      <x:c r="H15" s="2"/>
      <x:c r="I15" s="6"/>
    </x:row>
    <x:row r="16" ht="42" customHeight="1">
      <x:c r="A16" s="2"/>
      <x:c r="B16" s="2" t="str">
        <x:v>收盘 / MTF / 历史可得性</x:v>
      </x:c>
      <x:c r="C16" s="2" t="str">
        <x:v>填写</x:v>
      </x:c>
      <x:c r="D16" s="27"/>
      <x:c r="E16" s="27"/>
      <x:c r="F16" s="27"/>
      <x:c r="G16" s="27"/>
      <x:c r="H16" s="2"/>
      <x:c r="I16" s="6"/>
    </x:row>
    <x:row r="17" ht="42" customHeight="1">
      <x:c r="A17" s="2"/>
      <x:c r="B17" s="2" t="str">
        <x:v>本轮相对基准的改变</x:v>
      </x:c>
      <x:c r="C17" s="2" t="str">
        <x:v>填写</x:v>
      </x:c>
      <x:c r="D17" s="27"/>
      <x:c r="E17" s="27"/>
      <x:c r="F17" s="27"/>
      <x:c r="G17" s="27"/>
      <x:c r="H17" s="2"/>
      <x:c r="I17" s="6"/>
    </x:row>
    <x:row r="18" ht="42" customHeight="1">
      <x:c r="A18" s="2"/>
      <x:c r="B18" s="2" t="str">
        <x:v>研究假设与预期作用</x:v>
      </x:c>
      <x:c r="C18" s="2" t="str">
        <x:v>填写</x:v>
      </x:c>
      <x:c r="D18" s="27"/>
      <x:c r="E18" s="27"/>
      <x:c r="F18" s="27"/>
      <x:c r="G18" s="27"/>
      <x:c r="H18" s="2"/>
      <x:c r="I18" s="6"/>
    </x:row>
    <x:row r="19" ht="42" customHeight="1">
      <x:c r="A19" s="2"/>
      <x:c r="B19" s="2" t="str">
        <x:v>弱项原因与下一轮调整</x:v>
      </x:c>
      <x:c r="C19" s="2" t="str">
        <x:v>填写</x:v>
      </x:c>
      <x:c r="D19" s="27"/>
      <x:c r="E19" s="27"/>
      <x:c r="F19" s="27"/>
      <x:c r="G19" s="27"/>
      <x:c r="H19" s="2"/>
      <x:c r="I19" s="6"/>
    </x:row>
    <x:row r="20" ht="23" customHeight="1">
      <x:c r="A20" s="2"/>
      <x:c r="B20" s="2" t="str">
        <x:v>预登记及试验记录入口</x:v>
      </x:c>
      <x:c r="C20" s="2" t="str">
        <x:v>证据</x:v>
      </x:c>
      <x:c r="D20" s="14"/>
      <x:c r="E20" s="14"/>
      <x:c r="F20" s="14"/>
      <x:c r="G20" s="14"/>
      <x:c r="H20" s="2"/>
      <x:c r="I20" s="6"/>
    </x:row>
    <x:row r="21" ht="27" customHeight="1">
      <x:c r="A21" s="2"/>
      <x:c r="B21" s="9" t="str">
        <x:v>实施、回测与独立验证</x:v>
      </x:c>
      <x:c r="C21" s="9"/>
      <x:c r="D21" s="10"/>
      <x:c r="E21" s="10"/>
      <x:c r="F21" s="10"/>
      <x:c r="G21" s="10"/>
      <x:c r="H21" s="2"/>
      <x:c r="I21" s="6"/>
    </x:row>
    <x:row r="22" ht="23" customHeight="1">
      <x:c r="A22" s="2"/>
      <x:c r="B22" s="2" t="str">
        <x:v>源码修改后的编译核验</x:v>
      </x:c>
      <x:c r="C22" s="2" t="str">
        <x:v>状态</x:v>
      </x:c>
      <x:c r="D22" s="14"/>
      <x:c r="E22" s="14"/>
      <x:c r="F22" s="14"/>
      <x:c r="G22" s="14"/>
      <x:c r="H22" s="2"/>
      <x:c r="I22" s="6" t="str">
        <x:v>源码变更需新编译；仅参数变化可核对复用的同一 EX5 与原编译证据。</x:v>
      </x:c>
    </x:row>
    <x:row r="23" ht="23" customHeight="1">
      <x:c r="A23" s="2"/>
      <x:c r="B23" s="2" t="str">
        <x:v>本轮新回测及报告核验</x:v>
      </x:c>
      <x:c r="C23" s="2" t="str">
        <x:v>状态</x:v>
      </x:c>
      <x:c r="D23" s="14"/>
      <x:c r="E23" s="14"/>
      <x:c r="F23" s="14"/>
      <x:c r="G23" s="14"/>
      <x:c r="H23" s="2"/>
      <x:c r="I23" s="6" t="str">
        <x:v>每次修改要有新回测；记录 source / EX5 / SET / 报告的一致身份。</x:v>
      </x:c>
    </x:row>
    <x:row r="24" ht="23" customHeight="1">
      <x:c r="A24" s="2"/>
      <x:c r="B24" s="2" t="str">
        <x:v>源码 / EX5 / 参数一致性</x:v>
      </x:c>
      <x:c r="C24" s="2" t="str">
        <x:v>状态</x:v>
      </x:c>
      <x:c r="D24" s="14"/>
      <x:c r="E24" s="14"/>
      <x:c r="F24" s="14"/>
      <x:c r="G24" s="14"/>
      <x:c r="H24" s="2"/>
      <x:c r="I24" s="6"/>
    </x:row>
    <x:row r="25" ht="23" customHeight="1">
      <x:c r="A25" s="2"/>
      <x:c r="B25" s="2" t="str">
        <x:v>真实 Tick 覆盖与回退核对</x:v>
      </x:c>
      <x:c r="C25" s="2" t="str">
        <x:v>状态</x:v>
      </x:c>
      <x:c r="D25" s="14"/>
      <x:c r="E25" s="14"/>
      <x:c r="F25" s="14"/>
      <x:c r="G25" s="14"/>
      <x:c r="H25" s="2"/>
      <x:c r="I25" s="6"/>
    </x:row>
    <x:row r="26" ht="23" customHeight="1">
      <x:c r="A26" s="2"/>
      <x:c r="B26" s="2" t="str">
        <x:v>成本与延迟压力测试</x:v>
      </x:c>
      <x:c r="C26" s="2" t="str">
        <x:v>状态</x:v>
      </x:c>
      <x:c r="D26" s="14"/>
      <x:c r="E26" s="14"/>
      <x:c r="F26" s="14"/>
      <x:c r="G26" s="14"/>
      <x:c r="H26" s="2"/>
      <x:c r="I26" s="6"/>
    </x:row>
    <x:row r="27" ht="23" customHeight="1">
      <x:c r="A27" s="2"/>
      <x:c r="B27" s="2" t="str">
        <x:v>冻结后的未用样本验证</x:v>
      </x:c>
      <x:c r="C27" s="2" t="str">
        <x:v>状态</x:v>
      </x:c>
      <x:c r="D27" s="14"/>
      <x:c r="E27" s="14"/>
      <x:c r="F27" s="14"/>
      <x:c r="G27" s="14"/>
      <x:c r="H27" s="2"/>
      <x:c r="I27" s="6"/>
    </x:row>
    <x:row r="28" ht="23" customHeight="1">
      <x:c r="A28" s="2"/>
      <x:c r="B28" s="2" t="str">
        <x:v>验证数据是否已用于选型</x:v>
      </x:c>
      <x:c r="C28" s="2" t="str">
        <x:v>选择</x:v>
      </x:c>
      <x:c r="D28" s="14"/>
      <x:c r="E28" s="14"/>
      <x:c r="F28" s="14"/>
      <x:c r="G28" s="14"/>
      <x:c r="H28" s="2"/>
      <x:c r="I28" s="6" t="str">
        <x:v>用于调参或选择过的数据不能继续称为未见样本。</x:v>
      </x:c>
    </x:row>
    <x:row r="29" ht="23" customHeight="1">
      <x:c r="A29" s="2"/>
      <x:c r="B29" s="2" t="str">
        <x:v>对应版本 Demo 前向验证</x:v>
      </x:c>
      <x:c r="C29" s="2" t="str">
        <x:v>状态</x:v>
      </x:c>
      <x:c r="D29" s="14"/>
      <x:c r="E29" s="14"/>
      <x:c r="F29" s="14"/>
      <x:c r="G29" s="14"/>
      <x:c r="H29" s="2"/>
      <x:c r="I29" s="6"/>
    </x:row>
    <x:row r="30" ht="23" customHeight="1">
      <x:c r="A30" s="2"/>
      <x:c r="B30" s="2" t="str">
        <x:v>是否触发 Stop Out</x:v>
      </x:c>
      <x:c r="C30" s="2" t="str">
        <x:v>选择</x:v>
      </x:c>
      <x:c r="D30" s="14"/>
      <x:c r="E30" s="14"/>
      <x:c r="F30" s="14"/>
      <x:c r="G30" s="14"/>
      <x:c r="H30" s="2"/>
      <x:c r="I30" s="6"/>
    </x:row>
    <x:row r="31" ht="23" customHeight="1">
      <x:c r="A31" s="2"/>
      <x:c r="B31" s="2" t="str">
        <x:v>持续运作与暂停恢复</x:v>
      </x:c>
      <x:c r="C31" s="2" t="str">
        <x:v>选择</x:v>
      </x:c>
      <x:c r="D31" s="14"/>
      <x:c r="E31" s="14"/>
      <x:c r="F31" s="14"/>
      <x:c r="G31" s="14"/>
      <x:c r="H31" s="2"/>
      <x:c r="I31" s="6"/>
    </x:row>
    <x:row r="32" ht="23" customHeight="1">
      <x:c r="A32" s="2"/>
      <x:c r="B32" s="2" t="str">
        <x:v>净期望及成本缓冲复核</x:v>
      </x:c>
      <x:c r="C32" s="2" t="str">
        <x:v>状态</x:v>
      </x:c>
      <x:c r="D32" s="14"/>
      <x:c r="E32" s="14"/>
      <x:c r="F32" s="14"/>
      <x:c r="G32" s="14"/>
      <x:c r="H32" s="2"/>
      <x:c r="I32" s="6" t="str">
        <x:v>正净期望不等于统计显著；检查成本缓冲、收益分布和样本依赖。</x:v>
      </x:c>
    </x:row>
    <x:row r="33" ht="23" customHeight="1">
      <x:c r="A33" s="2"/>
      <x:c r="B33" s="2" t="str">
        <x:v>其余 §11 要求复核</x:v>
      </x:c>
      <x:c r="C33" s="2" t="str">
        <x:v>状态</x:v>
      </x:c>
      <x:c r="D33" s="14"/>
      <x:c r="E33" s="14"/>
      <x:c r="F33" s="14"/>
      <x:c r="G33" s="14"/>
      <x:c r="H33" s="2"/>
      <x:c r="I33" s="6"/>
    </x:row>
    <x:row r="34" ht="42" customHeight="1">
      <x:c r="A34" s="2"/>
      <x:c r="B34" s="2" t="str">
        <x:v>已知异常与处理方案</x:v>
      </x:c>
      <x:c r="C34" s="2" t="str">
        <x:v>填写</x:v>
      </x:c>
      <x:c r="D34" s="27"/>
      <x:c r="E34" s="27"/>
      <x:c r="F34" s="27"/>
      <x:c r="G34" s="27"/>
      <x:c r="H34" s="2"/>
      <x:c r="I34" s="6"/>
    </x:row>
    <x:row r="35" ht="23" customHeight="1">
      <x:c r="A35" s="2"/>
      <x:c r="B35" s="2" t="str">
        <x:v>人工研究结论</x:v>
      </x:c>
      <x:c r="C35" s="2" t="str">
        <x:v>选择</x:v>
      </x:c>
      <x:c r="D35" s="14"/>
      <x:c r="E35" s="14"/>
      <x:c r="F35" s="14"/>
      <x:c r="G35" s="14"/>
      <x:c r="H35" s="2"/>
      <x:c r="I35" s="6"/>
    </x:row>
    <x:row r="36" ht="23" customHeight="1">
      <x:c r="A36" s="2"/>
      <x:c r="B36" s="2" t="str">
        <x:v>验证资料完整性</x:v>
      </x:c>
      <x:c r="C36" s="2" t="str">
        <x:v>自动判断</x:v>
      </x:c>
      <x:c r="D36" s="5" t="str">
        <x:f>IF(OR(COUNTIFS(D22:D27,"未通过")&gt;0,D29="未通过"),"存在未通过项",IF(D28="已用于选型","样本已使用，另留验证",IF(AND(COUNTIFS(D22:D27,"通过")=6,D28="未用于选型",D29="通过",D39&lt;&gt;"",D40&lt;&gt;"",D41&lt;&gt;"",D42&lt;&gt;"",D43&lt;&gt;""),"已记录，待证据复核","验证资料待完善")))</x:f>
        <x:v>验证资料待完善</x:v>
      </x:c>
      <x:c r="E36" s="5" t="str">
        <x:f>IF(OR(COUNTIFS(E22:E27,"未通过")&gt;0,E29="未通过"),"存在未通过项",IF(E28="已用于选型","样本已使用，另留验证",IF(AND(COUNTIFS(E22:E27,"通过")=6,E28="未用于选型",E29="通过",E39&lt;&gt;"",E40&lt;&gt;"",E41&lt;&gt;"",E42&lt;&gt;"",E43&lt;&gt;""),"已记录，待证据复核","验证资料待完善")))</x:f>
        <x:v>验证资料待完善</x:v>
      </x:c>
      <x:c r="F36" s="5" t="str">
        <x:f>IF(OR(COUNTIFS(F22:F27,"未通过")&gt;0,F29="未通过"),"存在未通过项",IF(F28="已用于选型","样本已使用，另留验证",IF(AND(COUNTIFS(F22:F27,"通过")=6,F28="未用于选型",F29="通过",F39&lt;&gt;"",F40&lt;&gt;"",F41&lt;&gt;"",F42&lt;&gt;"",F43&lt;&gt;""),"已记录，待证据复核","验证资料待完善")))</x:f>
        <x:v>验证资料待完善</x:v>
      </x:c>
      <x:c r="G36" s="5" t="str">
        <x:f>IF(OR(COUNTIFS(G22:G27,"未通过")&gt;0,G29="未通过"),"存在未通过项",IF(G28="已用于选型","样本已使用，另留验证",IF(AND(COUNTIFS(G22:G27,"通过")=6,G28="未用于选型",G29="通过",G39&lt;&gt;"",G40&lt;&gt;"",G41&lt;&gt;"",G42&lt;&gt;"",G43&lt;&gt;""),"已记录，待证据复核","验证资料待完善")))</x:f>
        <x:v>验证资料待完善</x:v>
      </x:c>
      <x:c r="H36" s="2"/>
      <x:c r="I36" s="6" t="str">
        <x:v>人工填写的状态与证据入口，不自动读取或认证报告，也不自动选 Champion。</x:v>
      </x:c>
    </x:row>
    <x:row r="37" ht="23" customHeight="1">
      <x:c r="A37" s="2"/>
      <x:c r="B37" s="2"/>
      <x:c r="C37" s="2"/>
      <x:c r="D37" s="5"/>
      <x:c r="E37" s="5"/>
      <x:c r="F37" s="5"/>
      <x:c r="G37" s="5"/>
      <x:c r="H37" s="2"/>
      <x:c r="I37" s="6"/>
    </x:row>
    <x:row r="38" ht="27" customHeight="1">
      <x:c r="A38" s="2"/>
      <x:c r="B38" s="9" t="str">
        <x:v>证据与下一轮可复现信息</x:v>
      </x:c>
      <x:c r="C38" s="9"/>
      <x:c r="D38" s="10"/>
      <x:c r="E38" s="10"/>
      <x:c r="F38" s="10"/>
      <x:c r="G38" s="10"/>
      <x:c r="H38" s="2"/>
      <x:c r="I38" s="6"/>
    </x:row>
    <x:row r="39" ht="23" customHeight="1">
      <x:c r="A39" s="2"/>
      <x:c r="B39" s="2" t="str">
        <x:v>匹配源码 SHA256</x:v>
      </x:c>
      <x:c r="C39" s="2" t="str">
        <x:v>哈希</x:v>
      </x:c>
      <x:c r="D39" s="14"/>
      <x:c r="E39" s="14"/>
      <x:c r="F39" s="14"/>
      <x:c r="G39" s="14"/>
      <x:c r="H39" s="2"/>
      <x:c r="I39" s="6" t="str">
        <x:v>较长哈希在编辑栏查看；保持完整 64 位，不截断保存。</x:v>
      </x:c>
    </x:row>
    <x:row r="40" ht="23" customHeight="1">
      <x:c r="A40" s="2"/>
      <x:c r="B40" s="2" t="str">
        <x:v>匹配 EX5 SHA256</x:v>
      </x:c>
      <x:c r="C40" s="2" t="str">
        <x:v>哈希</x:v>
      </x:c>
      <x:c r="D40" s="14"/>
      <x:c r="E40" s="14"/>
      <x:c r="F40" s="14"/>
      <x:c r="G40" s="14"/>
      <x:c r="H40" s="2"/>
      <x:c r="I40" s="6"/>
    </x:row>
    <x:row r="41" ht="23" customHeight="1">
      <x:c r="A41" s="2"/>
      <x:c r="B41" s="2" t="str">
        <x:v>SET / INI 哈希或入口</x:v>
      </x:c>
      <x:c r="C41" s="2" t="str">
        <x:v>证据</x:v>
      </x:c>
      <x:c r="D41" s="14"/>
      <x:c r="E41" s="14"/>
      <x:c r="F41" s="14"/>
      <x:c r="G41" s="14"/>
      <x:c r="H41" s="2"/>
      <x:c r="I41" s="6"/>
    </x:row>
    <x:row r="42" ht="23" customHeight="1">
      <x:c r="A42" s="2"/>
      <x:c r="B42" s="2" t="str">
        <x:v>编译日志入口</x:v>
      </x:c>
      <x:c r="C42" s="2" t="str">
        <x:v>证据</x:v>
      </x:c>
      <x:c r="D42" s="14"/>
      <x:c r="E42" s="14"/>
      <x:c r="F42" s="14"/>
      <x:c r="G42" s="14"/>
      <x:c r="H42" s="2"/>
      <x:c r="I42" s="6"/>
    </x:row>
    <x:row r="43" ht="23" customHeight="1">
      <x:c r="A43" s="2"/>
      <x:c r="B43" s="2" t="str">
        <x:v>回测报告入口</x:v>
      </x:c>
      <x:c r="C43" s="2" t="str">
        <x:v>证据</x:v>
      </x:c>
      <x:c r="D43" s="14"/>
      <x:c r="E43" s="14"/>
      <x:c r="F43" s="14"/>
      <x:c r="G43" s="14"/>
      <x:c r="H43" s="2"/>
      <x:c r="I43" s="6"/>
    </x:row>
    <x:row r="44" ht="23" customHeight="1">
      <x:c r="A44" s="2"/>
      <x:c r="B44" s="2" t="str">
        <x:v>指标提交 / 源码 / EX5 哈希</x:v>
      </x:c>
      <x:c r="C44" s="2" t="str">
        <x:v>证据</x:v>
      </x:c>
      <x:c r="D44" s="14"/>
      <x:c r="E44" s="14"/>
      <x:c r="F44" s="14"/>
      <x:c r="G44" s="14"/>
      <x:c r="H44" s="2"/>
      <x:c r="I44" s="6"/>
    </x:row>
    <x:row r="45" ht="23" customHeight="1">
      <x:c r="A45" s="2"/>
      <x:c r="B45" s="2" t="str">
        <x:v>原版与最佳恢复点</x:v>
      </x:c>
      <x:c r="C45" s="2" t="str">
        <x:v>证据</x:v>
      </x:c>
      <x:c r="D45" s="14"/>
      <x:c r="E45" s="14"/>
      <x:c r="F45" s="14"/>
      <x:c r="G45" s="14"/>
      <x:c r="H45" s="2"/>
      <x:c r="I45" s="6"/>
    </x:row>
    <x:row r="46" ht="23" customHeight="1">
      <x:c r="A46" s="2"/>
      <x:c r="B46" s="2" t="str">
        <x:v>EA 仓库提交</x:v>
      </x:c>
      <x:c r="C46" s="2" t="str">
        <x:v>提交</x:v>
      </x:c>
      <x:c r="D46" s="14"/>
      <x:c r="E46" s="14"/>
      <x:c r="F46" s="14"/>
      <x:c r="G46" s="14"/>
      <x:c r="H46" s="2"/>
      <x:c r="I46" s="6"/>
    </x:row>
    <x:row r="47" ht="23" customHeight="1">
      <x:c r="A47" s="2"/>
      <x:c r="B47" s="2" t="str">
        <x:v>用户 SOP 授权依据</x:v>
      </x:c>
      <x:c r="C47" s="2" t="str">
        <x:v>证据</x:v>
      </x:c>
      <x:c r="D47" s="14"/>
      <x:c r="E47" s="14"/>
      <x:c r="F47" s="14"/>
      <x:c r="G47" s="14"/>
      <x:c r="H47" s="2"/>
      <x:c r="I47" s="6"/>
    </x:row>
    <x:row r="48" ht="42" customHeight="1">
      <x:c r="A48" s="2"/>
      <x:c r="B48" s="2" t="str">
        <x:v>新闻 / 日历缺失与版本</x:v>
      </x:c>
      <x:c r="C48" s="2" t="str">
        <x:v>记录</x:v>
      </x:c>
      <x:c r="D48" s="27"/>
      <x:c r="E48" s="27"/>
      <x:c r="F48" s="27"/>
      <x:c r="G48" s="27"/>
      <x:c r="H48" s="2"/>
      <x:c r="I48" s="6"/>
    </x:row>
    <x:row r="49" ht="42" customHeight="1">
      <x:c r="A49" s="2"/>
      <x:c r="B49" s="2" t="str">
        <x:v>黄金 / 美元关联假设</x:v>
      </x:c>
      <x:c r="C49" s="2" t="str">
        <x:v>记录</x:v>
      </x:c>
      <x:c r="D49" s="27"/>
      <x:c r="E49" s="27"/>
      <x:c r="F49" s="27"/>
      <x:c r="G49" s="27"/>
      <x:c r="H49" s="2"/>
      <x:c r="I49" s="6"/>
    </x:row>
    <x:row r="50" ht="42" customHeight="1">
      <x:c r="A50" s="2"/>
      <x:c r="B50" s="2" t="str">
        <x:v>趋势 / 震荡识别规则</x:v>
      </x:c>
      <x:c r="C50" s="2" t="str">
        <x:v>记录</x:v>
      </x:c>
      <x:c r="D50" s="27"/>
      <x:c r="E50" s="27"/>
      <x:c r="F50" s="27"/>
      <x:c r="G50" s="27"/>
      <x:c r="H50" s="2"/>
      <x:c r="I50" s="6"/>
    </x:row>
    <x:row r="51" ht="42" customHeight="1">
      <x:c r="A51" s="2"/>
      <x:c r="B51" s="2" t="str">
        <x:v>动态降险 / 暂停 / 恢复规则</x:v>
      </x:c>
      <x:c r="C51" s="2" t="str">
        <x:v>记录</x:v>
      </x:c>
      <x:c r="D51" s="27"/>
      <x:c r="E51" s="27"/>
      <x:c r="F51" s="27"/>
      <x:c r="G51" s="27"/>
      <x:c r="H51" s="2"/>
      <x:c r="I51" s="6" t="str">
        <x:v>新开仓门控不得阻断已有仓位保护；EA 独立执行本地风控。</x:v>
      </x:c>
    </x:row>
    <x:row r="52" ht="23" customHeight="1">
      <x:c r="A52" s="2"/>
      <x:c r="B52" s="2" t="str">
        <x:v>提款情景报告入口</x:v>
      </x:c>
      <x:c r="C52" s="2" t="str">
        <x:v>证据</x:v>
      </x:c>
      <x:c r="D52" s="14"/>
      <x:c r="E52" s="14"/>
      <x:c r="F52" s="14"/>
      <x:c r="G52" s="14"/>
      <x:c r="H52" s="2"/>
      <x:c r="I52" s="6"/>
    </x:row>
    <x:row r="53" ht="42" customHeight="1">
      <x:c r="A53" s="2"/>
      <x:c r="B53" s="2" t="str">
        <x:v>浮亏、保证金及两线偏离</x:v>
      </x:c>
      <x:c r="C53" s="2" t="str">
        <x:v>记录</x:v>
      </x:c>
      <x:c r="D53" s="27"/>
      <x:c r="E53" s="27"/>
      <x:c r="F53" s="27"/>
      <x:c r="G53" s="27"/>
      <x:c r="H53" s="2"/>
      <x:c r="I53" s="6"/>
    </x:row>
    <x:row r="54" ht="42" customHeight="1">
      <x:c r="A54" s="2"/>
      <x:c r="B54" s="2" t="str">
        <x:v>参数敏感性与成本变化</x:v>
      </x:c>
      <x:c r="C54" s="2" t="str">
        <x:v>记录</x:v>
      </x:c>
      <x:c r="D54" s="27"/>
      <x:c r="E54" s="27"/>
      <x:c r="F54" s="27"/>
      <x:c r="G54" s="27"/>
      <x:c r="H54" s="2"/>
      <x:c r="I54" s="6"/>
    </x:row>
    <x:row r="55" ht="23" customHeight="1">
      <x:c r="A55" s="2"/>
      <x:c r="B55" s="2" t="str">
        <x:v>版本实际阶段</x:v>
      </x:c>
      <x:c r="C55" s="2" t="str">
        <x:v>选择</x:v>
      </x:c>
      <x:c r="D55" s="14"/>
      <x:c r="E55" s="14"/>
      <x:c r="F55" s="14"/>
      <x:c r="G55" s="14"/>
      <x:c r="H55" s="2"/>
      <x:c r="I55" s="6" t="str">
        <x:v>阶段是人工记录，需对应版本证据；保存此表不启动编译、回测或部署。</x:v>
      </x:c>
    </x:row>
    <x:row r="56" ht="23" customHeight="1">
      <x:c r="A56" s="2"/>
      <x:c r="B56" s="2" t="str">
        <x:v>Margin Call / Stop Out 规则</x:v>
      </x:c>
      <x:c r="C56" s="2" t="str">
        <x:v>模式 / 阈值</x:v>
      </x:c>
      <x:c r="D56" s="14"/>
      <x:c r="E56" s="14"/>
      <x:c r="F56" s="14"/>
      <x:c r="G56" s="14"/>
      <x:c r="H56" s="2"/>
      <x:c r="I56" s="6"/>
    </x:row>
    <x:row r="57" ht="23" customHeight="1">
      <x:c r="A57" s="2"/>
      <x:c r="B57" s="2" t="str">
        <x:v>保证金峰值及浮亏持续时间</x:v>
      </x:c>
      <x:c r="C57" s="2" t="str">
        <x:v>注明单位</x:v>
      </x:c>
      <x:c r="D57" s="14"/>
      <x:c r="E57" s="14"/>
      <x:c r="F57" s="14"/>
      <x:c r="G57" s="14"/>
      <x:c r="H57" s="2"/>
      <x:c r="I57" s="6"/>
    </x:row>
  </x:sheetData>
  <x:conditionalFormatting sqref="D10:G13">
    <x:cfRule type="containsText" dxfId="2" priority="1" operator="containsText" text="未"/>
  </x:conditionalFormatting>
  <x:conditionalFormatting sqref="D36:G36">
    <x:cfRule type="containsText" dxfId="3" priority="2" operator="containsText" text="未"/>
  </x:conditionalFormatting>
  <x:dataValidations count="15">
    <x:dataValidation type="list" sqref="D7:G7">
      <x:formula1>"USER_OWNED,NON_USER,UNKNOWN"</x:formula1>
    </x:dataValidation>
    <x:dataValidation type="list" sqref="D22:G22">
      <x:formula1>"通过,未通过,未执行,待核对"</x:formula1>
    </x:dataValidation>
    <x:dataValidation type="list" sqref="D23:G23">
      <x:formula1>"通过,未通过,未执行,待核对"</x:formula1>
    </x:dataValidation>
    <x:dataValidation type="list" sqref="D24:G24">
      <x:formula1>"通过,未通过,未执行,待核对"</x:formula1>
    </x:dataValidation>
    <x:dataValidation type="list" sqref="D25:G25">
      <x:formula1>"通过,未通过,未执行,待核对"</x:formula1>
    </x:dataValidation>
    <x:dataValidation type="list" sqref="D26:G26">
      <x:formula1>"通过,未通过,未执行,待核对"</x:formula1>
    </x:dataValidation>
    <x:dataValidation type="list" sqref="D27:G27">
      <x:formula1>"通过,未通过,未执行,待核对"</x:formula1>
    </x:dataValidation>
    <x:dataValidation type="list" sqref="D29:G29">
      <x:formula1>"通过,未通过,未执行,待核对"</x:formula1>
    </x:dataValidation>
    <x:dataValidation type="list" sqref="D32:G32">
      <x:formula1>"通过,未通过,未执行,待核对"</x:formula1>
    </x:dataValidation>
    <x:dataValidation type="list" sqref="D33:G33">
      <x:formula1>"通过,未通过,未执行,待核对"</x:formula1>
    </x:dataValidation>
    <x:dataValidation type="list" sqref="D28:G28">
      <x:formula1>"未用于选型,已用于选型,不明"</x:formula1>
    </x:dataValidation>
    <x:dataValidation type="list" sqref="D30:G30">
      <x:formula1>"否,是,不明"</x:formula1>
    </x:dataValidation>
    <x:dataValidation type="list" sqref="D31:G31">
      <x:formula1>"稳定运行,正常暂停且恢复已核对,异常停机,待核对"</x:formula1>
    </x:dataValidation>
    <x:dataValidation type="list" sqref="D35:G35">
      <x:formula1>"待评估,继续研究,拒绝晋级,待下一阶段复核"</x:formula1>
    </x:dataValidation>
    <x:dataValidation type="list" sqref="D55:G55">
      <x:formula1>"待开发,已编译,开发回测,冻结待验证,独立验证,Demo,Champion（另附证据）,已部署（另附授权）"</x:formula1>
    </x:dataValidation>
  </x:dataValidations>
  <x:pageMargins left="0.7" right="0.7" top="0.75" bottom="0.75" header="0.3" footer="0.3"/>
</x:worksheet>
</file>